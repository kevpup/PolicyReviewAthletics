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evinchilds/Desktop/PolicyReviewAthletics 2/"/>
    </mc:Choice>
  </mc:AlternateContent>
  <xr:revisionPtr revIDLastSave="0" documentId="13_ncr:1_{E6A64CD1-6B6A-2F4A-9817-5CC7B5DD5B06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Tracking Sheet" sheetId="1" r:id="rId1"/>
    <sheet name="Identifying Docu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7" i="1" l="1"/>
  <c r="F5" i="1"/>
  <c r="E5" i="1" s="1"/>
  <c r="G5" i="1" s="1"/>
  <c r="F3" i="1"/>
  <c r="E3" i="1" s="1"/>
  <c r="G3" i="1" s="1"/>
</calcChain>
</file>

<file path=xl/sharedStrings.xml><?xml version="1.0" encoding="utf-8"?>
<sst xmlns="http://schemas.openxmlformats.org/spreadsheetml/2006/main" count="662" uniqueCount="306">
  <si>
    <t>Document Link</t>
  </si>
  <si>
    <t>Page Count</t>
  </si>
  <si>
    <t xml:space="preserve">Status </t>
  </si>
  <si>
    <t>Notes</t>
  </si>
  <si>
    <t>USADA - ALL</t>
  </si>
  <si>
    <t>Complete</t>
  </si>
  <si>
    <t>Remaining</t>
  </si>
  <si>
    <t>Percent Done</t>
  </si>
  <si>
    <t>USADA1.pdf</t>
  </si>
  <si>
    <t>Athlete Data Mentioned</t>
  </si>
  <si>
    <t>USADA2.pdf</t>
  </si>
  <si>
    <t>Count Complete</t>
  </si>
  <si>
    <t>Remaining Count</t>
  </si>
  <si>
    <t>Percent Count</t>
  </si>
  <si>
    <t>USADA3.pdf</t>
  </si>
  <si>
    <t>USADA4.pdf</t>
  </si>
  <si>
    <t>No-Reference</t>
  </si>
  <si>
    <t>USADA5.pdf</t>
  </si>
  <si>
    <t>Talks about investigations, suprisingly no reference</t>
  </si>
  <si>
    <t>USADA6.pdf</t>
  </si>
  <si>
    <t>Read after WADA to check duplicates ---- Different format from WADA but duplicate information. See WADA codes for more information</t>
  </si>
  <si>
    <t>WADA - ALL</t>
  </si>
  <si>
    <t>WADA1.pdf</t>
  </si>
  <si>
    <t>WADA2.pdf</t>
  </si>
  <si>
    <t>WADA3.pdf</t>
  </si>
  <si>
    <t>WADA4.pdf</t>
  </si>
  <si>
    <t>WADA5.pdf</t>
  </si>
  <si>
    <t>Labs don't see athlete data, just sample and sample code</t>
  </si>
  <si>
    <t>WADA6.pdf</t>
  </si>
  <si>
    <t>WADA7.pdf</t>
  </si>
  <si>
    <t>WADA8.pdf</t>
  </si>
  <si>
    <t>USOPC - ALL</t>
  </si>
  <si>
    <t>USOPC2.pdf</t>
  </si>
  <si>
    <t>NCAA - ALL</t>
  </si>
  <si>
    <t>NCAA1.pdf</t>
  </si>
  <si>
    <t>SEC - ALL</t>
  </si>
  <si>
    <t>SEC1.pdf</t>
  </si>
  <si>
    <t>SEC2.pdf</t>
  </si>
  <si>
    <t>Differs most relevant information to the NCAA Handbook</t>
  </si>
  <si>
    <t>NWSL - Soccer</t>
  </si>
  <si>
    <t>NWSL1.pdf</t>
  </si>
  <si>
    <t>NWSL2.pdf</t>
  </si>
  <si>
    <t>NWSL3.pdf</t>
  </si>
  <si>
    <t>NWSL4.pdf</t>
  </si>
  <si>
    <t>NWSL5.pdf</t>
  </si>
  <si>
    <t>NWSL6.pdf</t>
  </si>
  <si>
    <t>NWSL7.pdf</t>
  </si>
  <si>
    <t>USSF - Soccer</t>
  </si>
  <si>
    <t>USSF1.pdf</t>
  </si>
  <si>
    <t>USSF2.Pdf</t>
  </si>
  <si>
    <t>USSF3.pdf</t>
  </si>
  <si>
    <t>USSF4.pdf</t>
  </si>
  <si>
    <t>USSF5.pdf</t>
  </si>
  <si>
    <t>USSF6.pdf</t>
  </si>
  <si>
    <t>USSF7.pdf</t>
  </si>
  <si>
    <t>Notes WADA and USADA</t>
  </si>
  <si>
    <t>FIFA - Soccer</t>
  </si>
  <si>
    <t>FIFA1.pdf</t>
  </si>
  <si>
    <t>FIFA2.pdf</t>
  </si>
  <si>
    <t>IFAB - Soccer</t>
  </si>
  <si>
    <t>IFAB.pdf</t>
  </si>
  <si>
    <t>USA Swimming - Swimming</t>
  </si>
  <si>
    <t>USA_Swimming1.pdf</t>
  </si>
  <si>
    <t>Duplicate wording to the World Athletics Wearable policy</t>
  </si>
  <si>
    <t>USA_Swimming2.pdf</t>
  </si>
  <si>
    <t>USA_Swimming3.pdf</t>
  </si>
  <si>
    <t>USA_Swimming4.pdf</t>
  </si>
  <si>
    <t>USA_Swimming5.pdf</t>
  </si>
  <si>
    <t>USA_Swimming6.pdf</t>
  </si>
  <si>
    <t>we may share your personal information in the following situations: For public health activities and purposes, such as contagious disease reporting, investigation or surveillance, and notices to and from our governing bodies</t>
  </si>
  <si>
    <t>World Aquatics - Swimming</t>
  </si>
  <si>
    <t>World_Aquatics1.pdf</t>
  </si>
  <si>
    <t>World_Aquatics2.pdf</t>
  </si>
  <si>
    <t>World_Aquatics3.pdf</t>
  </si>
  <si>
    <t>Safesport/MAAPP - ALL</t>
  </si>
  <si>
    <t>SafeSport1.pdf</t>
  </si>
  <si>
    <t>SafeSport2.pdf</t>
  </si>
  <si>
    <t>WTA Players Council - Tennis</t>
  </si>
  <si>
    <t>WTA1.pdf</t>
  </si>
  <si>
    <t>WTA2.pdf</t>
  </si>
  <si>
    <t>Similar to MAAPP but no stipulations on electronic communications</t>
  </si>
  <si>
    <t>WTA3.pdf</t>
  </si>
  <si>
    <t>WTA4.pdf</t>
  </si>
  <si>
    <t>PTPA - Tennnis</t>
  </si>
  <si>
    <t>PTPA.pdf</t>
  </si>
  <si>
    <t>USTA - Tennis</t>
  </si>
  <si>
    <t>USTA1.pdf</t>
  </si>
  <si>
    <t>USTA2.pdf</t>
  </si>
  <si>
    <t>USTA3.pdf</t>
  </si>
  <si>
    <t>USTA4.pdf</t>
  </si>
  <si>
    <t>USTA5.pdf</t>
  </si>
  <si>
    <t>USTA6.pdf</t>
  </si>
  <si>
    <t>USTA7.pdf</t>
  </si>
  <si>
    <t>ITIA - Tennis</t>
  </si>
  <si>
    <t>ITIA1.pdf</t>
  </si>
  <si>
    <t>ITIA2.pdf</t>
  </si>
  <si>
    <t>Data mentioned by proxy. It refers to WADA, and data is shared in coordination with WADA, but not unique mentions of athlete data</t>
  </si>
  <si>
    <t>ITF - Tennis</t>
  </si>
  <si>
    <t>ITF1.pdf</t>
  </si>
  <si>
    <t>ITF2.pdf</t>
  </si>
  <si>
    <t>ITF3.pdf</t>
  </si>
  <si>
    <t>ITF4.pdf</t>
  </si>
  <si>
    <t>Duplicate workding from WTA3</t>
  </si>
  <si>
    <t>ITF5.pdf</t>
  </si>
  <si>
    <t>ITF6.pdf</t>
  </si>
  <si>
    <t>p19 - Datasharing and consent in regards to abuse; p14 CyberBullying; p11 Use a Relationship of Trust or any authority, supervision or control, to further personal, financial or business interests in a way that causes or would be likely to cause detriment to the best interests of any person;</t>
  </si>
  <si>
    <t>ITF7.pdf</t>
  </si>
  <si>
    <t>Player Analysis Technology - appendix 3, Rule 30, rule 2</t>
  </si>
  <si>
    <t>ITF8.pdf</t>
  </si>
  <si>
    <t>World Athletics - Track and Field</t>
  </si>
  <si>
    <t>WorldAthletics1.pdf</t>
  </si>
  <si>
    <t>WorldAthletics2.pdf</t>
  </si>
  <si>
    <t>WorldAthletics3.pdf</t>
  </si>
  <si>
    <t>WorldAthletics4.pdf</t>
  </si>
  <si>
    <t>WorldAthletics5.pdf</t>
  </si>
  <si>
    <t>WorldAthletics6.pdf</t>
  </si>
  <si>
    <t>Duplicate wording related to inside information</t>
  </si>
  <si>
    <t>WorldAthletics7.pdf</t>
  </si>
  <si>
    <t>WorldAthletics14.pdf</t>
  </si>
  <si>
    <t>WorldAthletics15.pdf</t>
  </si>
  <si>
    <t>WorldAthletics16.pdf</t>
  </si>
  <si>
    <t>WorldAthletics17.pdf</t>
  </si>
  <si>
    <t>WorldAthletics19.pdf</t>
  </si>
  <si>
    <t>WorldAthletics20.pdf</t>
  </si>
  <si>
    <t>WorldAthletics21.pdf</t>
  </si>
  <si>
    <t>WorldAthletics22.pdf</t>
  </si>
  <si>
    <t>WorldAthletics23.pdf</t>
  </si>
  <si>
    <t>WorldAthletics24.pdf</t>
  </si>
  <si>
    <t>WorldAthletics25.pdf</t>
  </si>
  <si>
    <t>WorldAthletics26.pdf</t>
  </si>
  <si>
    <t>WorldAthletics27.pdf</t>
  </si>
  <si>
    <t>WorldAthletics28.pdf</t>
  </si>
  <si>
    <t>WorldAthletics29.pdf</t>
  </si>
  <si>
    <t>WorldAthletics30.pdf</t>
  </si>
  <si>
    <t>WorldAthletics31.pdf</t>
  </si>
  <si>
    <t>WorldAthletics33.pdf</t>
  </si>
  <si>
    <t>WorldAthletics36.pdf</t>
  </si>
  <si>
    <t>WorldAthletics38.pdf</t>
  </si>
  <si>
    <t>WorldAthletics40.pdf</t>
  </si>
  <si>
    <t>WorldAthletics41.pdf</t>
  </si>
  <si>
    <t>WorldAthletics42.pdf</t>
  </si>
  <si>
    <t>WorldAthletics43.pdf</t>
  </si>
  <si>
    <t>WorldAthletics44.pdf</t>
  </si>
  <si>
    <t>WorldAthletics45.pdf</t>
  </si>
  <si>
    <t>WorldAthletics46.pdf</t>
  </si>
  <si>
    <t>WorldAthletics47.pdf</t>
  </si>
  <si>
    <t>WorldAthletics48.pdf</t>
  </si>
  <si>
    <t>WorldAthletics49.pdf</t>
  </si>
  <si>
    <t>WorldAthletics50.pdf</t>
  </si>
  <si>
    <t>WorldAthletics51.pdf</t>
  </si>
  <si>
    <t>WorldAthletics52.pdf</t>
  </si>
  <si>
    <t>WorldAthletics53.pdf</t>
  </si>
  <si>
    <t>WorldAthletics54.pdf</t>
  </si>
  <si>
    <t>WorldAthletics55.pdf</t>
  </si>
  <si>
    <t>WorldAthletics56.pdf</t>
  </si>
  <si>
    <t>WorldAthletics57.pdf</t>
  </si>
  <si>
    <t>WorldAthletics58.pdf</t>
  </si>
  <si>
    <t>WorldAthletics59.pdf</t>
  </si>
  <si>
    <t>USATF - Track and Field</t>
  </si>
  <si>
    <t>USATF1.pdf</t>
  </si>
  <si>
    <t>USATF2.pdf</t>
  </si>
  <si>
    <t>USATF Safesport - Track and Feld</t>
  </si>
  <si>
    <t>USATF_Safesport.pdf</t>
  </si>
  <si>
    <t>Copy of MAAPP with some extra notes on the USATF using it</t>
  </si>
  <si>
    <t>NBA - Basketball</t>
  </si>
  <si>
    <t>NBA.pdf</t>
  </si>
  <si>
    <t>FIBA - Basketball</t>
  </si>
  <si>
    <t>FIBA1.pdf</t>
  </si>
  <si>
    <t>FIBA2.pdf</t>
  </si>
  <si>
    <t>Federation Tools - p 38; Technology at the forefront - p 49; advanced data presentations, including player heatmaps, player energy trackers and momentum statistics - p 54;</t>
  </si>
  <si>
    <t>FIBA3.pdf</t>
  </si>
  <si>
    <t>p1, p11</t>
  </si>
  <si>
    <t>FIBA4.pdf</t>
  </si>
  <si>
    <t>FIBA5.pdf</t>
  </si>
  <si>
    <t>p14 - all other clothing / equipment must be approved by FIBA</t>
  </si>
  <si>
    <t>FIBA6.pdf</t>
  </si>
  <si>
    <t>p9 - Data collection laws  - Strict confidentiality of young player data</t>
  </si>
  <si>
    <t>FIBA7.pdf</t>
  </si>
  <si>
    <t>FIBA8.pdf</t>
  </si>
  <si>
    <t>FIBA9.pdf</t>
  </si>
  <si>
    <t>Mentioned adhearing to data privacy laws</t>
  </si>
  <si>
    <t>FIBA10.pdf</t>
  </si>
  <si>
    <t xml:space="preserve">Briefly mentioned that doping samples must have Athlete consent for resaerch purposes </t>
  </si>
  <si>
    <t>FIBA11.pdf</t>
  </si>
  <si>
    <t>NBAPA-CBA</t>
  </si>
  <si>
    <t>NBA_CBA.pdf</t>
  </si>
  <si>
    <t>Athlete</t>
  </si>
  <si>
    <t>Women's Soccer</t>
  </si>
  <si>
    <t>NWSL</t>
  </si>
  <si>
    <t>USADA</t>
  </si>
  <si>
    <t>WADA</t>
  </si>
  <si>
    <t>USSF</t>
  </si>
  <si>
    <t>FIFA</t>
  </si>
  <si>
    <t>IFAB</t>
  </si>
  <si>
    <t>https://www.nwslplayers.com/_files/ugd/84dade_cdf25e593796416ca96f34e0e5fa0b88.pdf</t>
  </si>
  <si>
    <t>https://www.usada.org/wp-content/uploads/2025-Clean-Sport-Handbook.pdf</t>
  </si>
  <si>
    <t>https://www.wada-ama.org/en/resources/world-anti-doping-code-and-international-standards/international-standard-education-ise#resource-download</t>
  </si>
  <si>
    <t>https://cdn.sanity.io/files/oyf3dba6/production/70eff4ed09612f394cfa345e77b56460f07f2269.pdf</t>
  </si>
  <si>
    <t>https://cdn.sanity.io/files/oyf3dba6/production/60aade0e9428ab4b5a079f3cf80ecd46bacb8e15.pdf</t>
  </si>
  <si>
    <t>https://downloads.theifab.com/downloads/laws-of-the-game-2025-26-single-pages?l=en</t>
  </si>
  <si>
    <t>https://images.nwslsoccer.com/image/private/t_q-good/prd/ticyjpcq1orbznfb2kpi.pdf?_gl=1*1dw0agh*_gcl_au*MTQzNzM5ODI0NS4xNzU4ODEwMjY0</t>
  </si>
  <si>
    <t>https://www.usada.org/wp-content/uploads/USOPC-NADP.pdf</t>
  </si>
  <si>
    <t>https://www.wada-ama.org/en/resources/world-anti-doping-code-and-international-standards/international-standard-results</t>
  </si>
  <si>
    <t xml:space="preserve"> https://ussoccer.app.box.com/s/ummpm6cykczn0qcl1zolp32j5yj6qole</t>
  </si>
  <si>
    <t>https://digitalhub.fifa.com/m/696d877ea35ca761/original/Regulations-on-the-Status-and-Transfer-of-Players-January-2025-edition.pdf</t>
  </si>
  <si>
    <t xml:space="preserve"> </t>
  </si>
  <si>
    <t>https://www.usada.org/wp-content/uploads/2024-US-Athlete-Interview-Rights-and-Responsibilities.pdf</t>
  </si>
  <si>
    <t>https://www.wada-ama.org/en/resources/world-anti-doping-code-and-international-standards/international-standard-testing-and</t>
  </si>
  <si>
    <t>https://ussoccer.app.box.com/s/d17mtf22sltr4k8r7513970c13almooo</t>
  </si>
  <si>
    <t>https://images.nwslsoccer.com/image/private/t_q-good/prd/eqf8onxvjcmkqmt5ubmn.pdf?_gl=1*1dw0agh*_gcl_au*MTQzNzM5ODI0NS4xNzU4ODEwMjY0</t>
  </si>
  <si>
    <t>https://www.usada.org/wp-content/uploads/2024-Investigation-and-Interview-Principles.pdf</t>
  </si>
  <si>
    <t>https://www.wada-ama.org/en/resources/world-anti-doping-code-and-international-standards/international-standard-laboratories</t>
  </si>
  <si>
    <t xml:space="preserve"> https://ussoccer.app.box.com/v/whistleblower-policy</t>
  </si>
  <si>
    <t>https://images.nwslsoccer.com/image/private/t_q-good/prd/wnsk6nsxbkthcv9tmmme.pdf?_gl=1*1dw0agh*_gcl_au*MTQzNzM5ODI0NS4xNzU4ODEwMjY0</t>
  </si>
  <si>
    <t>https://www.usada.org/wp-content/uploads/USADA_Whereabouts-Policy.pdf</t>
  </si>
  <si>
    <t>https://www.wada-ama.org/en/resources/world-anti-doping-code-and-international-standards/international-standard-therapeutic-use</t>
  </si>
  <si>
    <t>https://ussoccer.app.box.com/v/ussf-anti-doping</t>
  </si>
  <si>
    <t>https://images.nwslsoccer.com/image/private/t_q-good/prd/o8lb0q5v2tyeixhggwwm.pdf?_gl=1*1dw0agh*_gcl_au*MTQzNzM5ODI0NS4xNzU4ODEwMjY0</t>
  </si>
  <si>
    <t>https://www.usada.org/wp-content/uploads/2021_wada_code.pdf</t>
  </si>
  <si>
    <t>https://www.wada-ama.org/en/prohibited-list</t>
  </si>
  <si>
    <t>https://ussoccer.app.box.com/s/kxtd02qe7x12kxkvt8cc8hsph5xz9c6m</t>
  </si>
  <si>
    <t>https://images.nwslsoccer.com/image/private/t_q-good/prd/bqso2kywvrxygd3ppsru.pdf?_gl=1*1dw0agh*_gcl_au*MTQzNzM5ODI0NS4xNzU4ODEwMjY0</t>
  </si>
  <si>
    <t>https://www.wada-ama.org/en/resources/world-anti-doping-code-and-international-standards/international-standard-protection</t>
  </si>
  <si>
    <t>https://cdn.sanity.io/files/oyf3dba6/production/a4e56fd1e9349e6400fcf0760f56677f3e43d68b.pdf</t>
  </si>
  <si>
    <t>https://images.nwslsoccer.com/image/private/t_q-good/prd/kqbdfpjgywmisiyhhtnp.pdf?_gl=1*1dw0agh*_gcl_au*MTQzNzM5ODI0NS4xNzU4ODEwMjY0</t>
  </si>
  <si>
    <t>https://www.wada-ama.org/en/resources/world-anti-doping-code-and-international-standards/international-standard-code-compliance</t>
  </si>
  <si>
    <t>Swimming</t>
  </si>
  <si>
    <t>USA Swimming</t>
  </si>
  <si>
    <t>World Aquatics</t>
  </si>
  <si>
    <t>SafeSport/MAAAPP</t>
  </si>
  <si>
    <t>https://websitedevsa.blob.core.windows.net/sitefinity/docs/default-source/governance/governance-lsc-website/rules_policies/rulebooks/2025-rulebook.pdf</t>
  </si>
  <si>
    <t>https://resources.fina.org/fina/document/2025/07/01/ed3110a4-2291-411d-8526-6f641bd9237a/Competition-Regulations_June-2025_Clean-updated-01.07.2025-.pdf</t>
  </si>
  <si>
    <t>https://uscenterforsafesport.org/wp-content/uploads/2023/03/2024_SafeSportCode-_073124_v3-A-.pdf</t>
  </si>
  <si>
    <t>https://websitedevsa.blob.core.windows.net/sitefinity/docs/default-source/accounting/usa-swimming-investment-policy-statment.pdf</t>
  </si>
  <si>
    <t>https://resources.fina.org/fina/document/2025/07/24/b22e5c11-4817-4fa7-9d0c-1fbd7c4eb8fb/World-Aquatics-By-laws-Valid-from-20.06.2025.pdf</t>
  </si>
  <si>
    <t>https://uscenterforsafesport.org/wp-content/uploads/2024/01/2025-MAAPP.pdf</t>
  </si>
  <si>
    <t>https://websitedevsa.blob.core.windows.net/sitefinity/docs/default-source/accounting/usa-swimming-foundation-investment-policy-statement.pdf</t>
  </si>
  <si>
    <t>https://resources.fina.org/fina/document/2025/08/20/56fb7c58-c0b8-4556-b74b-2bfc366f340d/World-Aquatics-Constitution-Version-in-force-as-from-29-July-2025.pdf</t>
  </si>
  <si>
    <t>https://websitedevsa.blob.core.windows.net/sitefinity/docs/default-source/governance/governance-lsc-website/rules_policies/board-of-directors-governing-policies-manual.pdf#page=49</t>
  </si>
  <si>
    <t>https://websitedevsa.blob.core.windows.net/sitefinity/docs/default-source/governance/governance-lsc-website/rules_policies/board-of-directors-governing-policies-manual.pdf</t>
  </si>
  <si>
    <t>https://websitedevsa.blob.core.windows.net/sitefinity/docs/default-source/governance/governance-lsc-website/rules_policies/operating-policy-manual.pdf</t>
  </si>
  <si>
    <t>https://websitedevsa.blob.core.windows.net/sitefinity/docs/default-source/governance/governance-lsc-website/rules_policies/gifts-and-entertainment-policy_083629d0-50ed-4b82-8ae6-9dc004087581.pdf</t>
  </si>
  <si>
    <t>Tennis</t>
  </si>
  <si>
    <t>WTA Players Council</t>
  </si>
  <si>
    <t>Professional Tennis Players Association</t>
  </si>
  <si>
    <t>USTA</t>
  </si>
  <si>
    <t>ITIA</t>
  </si>
  <si>
    <t>ITF Rules of Tennis</t>
  </si>
  <si>
    <t xml:space="preserve"> https://photoresources.wtatennis.com/wta/document/2025/01/06/50d1eafa-e678-4081-bfa8-5576f670f801/2025-WTA-Rulebook-1-5-2025-.pdf</t>
  </si>
  <si>
    <t>https://ptpaplayers.com/wp-content/uploads/2022/12/ptpa-principles.pdf</t>
  </si>
  <si>
    <t>https://www.usta.com/content/dam/usta/2025-pdfs/2026-national-regulations-interpretations.pdf</t>
  </si>
  <si>
    <t>https://www.itia.tennis/anti-doping/</t>
  </si>
  <si>
    <t>https://www.itftennis.com/media/7221/2025-rules-of-tennis-english.pdf</t>
  </si>
  <si>
    <t>https://photoresources.wtatennis.com/wta/document/2024/12/20/d2d3d668-b200-43b4-ade7-f86a7ee4f810/WTA-Women-s-Eligibility-Policy.pdf</t>
  </si>
  <si>
    <t>https://www.usta.com/content/dam/usta/2025-pdfs/2025-league-suspension-point-system.pdf</t>
  </si>
  <si>
    <t xml:space="preserve"> https://www.itia.tennis/anti-corruption/</t>
  </si>
  <si>
    <t>https://www.itftennis.com/media/5986/grand-slam-rulebook-2025-f.pdf</t>
  </si>
  <si>
    <t xml:space="preserve"> https://photoresources.wtatennis.com/wta/document/2024/12/20/edfc0482-fc41-4265-b869-3499318af976/WTA-Symbols-and-Slogans-Policy.pdf</t>
  </si>
  <si>
    <t>https://www.usta.com/content/dam/usta/2025-pdfs/2025-league-suspension-point-system-calculation-tables.pdf</t>
  </si>
  <si>
    <t>https://www.itftennis.com/media/13722/2025-itf-iap-procedural-rules.pdf</t>
  </si>
  <si>
    <t>https://photoresources.wtatennis.com/wta/document/2025/03/26/c3fc3faf-5426-4879-a91f-647776d42fc6/2025-WTA-Rebrand_Safeguarding-Digital-8.5x11_interactive.pdf</t>
  </si>
  <si>
    <t>https://www.usta.com/content/dam/usta/coach-organize/content-fragments/resource-library/assets/pdfs/friend-at-court.pdf</t>
  </si>
  <si>
    <t>https://www.itftennis.com/media/13723/2025-procedural-rules-independent-tribunal.pdf</t>
  </si>
  <si>
    <t>https://www.usta.com/content/dam/usta/2023-pdfs/NTRP-Medical-Appeal-Procedures-Q-A.pdf</t>
  </si>
  <si>
    <t xml:space="preserve"> https://www.itftennis.com/media/13855/rules-of-beach-tennis-2025.pdf</t>
  </si>
  <si>
    <t>https://www.usta.com/content/dam/usta/2025-pdfs/usta-league-grievance-procedures.pdf</t>
  </si>
  <si>
    <t>https://www.itftennis.com/media/15040/the-constitution-of-the-itf-2025-web.pdf</t>
  </si>
  <si>
    <t>https://www.usta.com/content/dam/usta/2025-pdfs/usta-ntrp-medical-appeal-ap-apa-statement.pdf</t>
  </si>
  <si>
    <t>https://www.itftennis.com/media/13725/itf-safeguarding-adults-policy-jan-2025.pdf</t>
  </si>
  <si>
    <t xml:space="preserve"> https://www.itftennis.com/media/13728/safeguarding-panel-procedural-rules-jan-2025.pdf</t>
  </si>
  <si>
    <t xml:space="preserve">Track and Field </t>
  </si>
  <si>
    <t>World Athletics</t>
  </si>
  <si>
    <t>USATF</t>
  </si>
  <si>
    <t>USATF Safesport</t>
  </si>
  <si>
    <t>https://worldathletics.org/about-iaaf/documents/book-of-rules</t>
  </si>
  <si>
    <t xml:space="preserve"> https://www.usatf.org/governance/bylaws-regulations</t>
  </si>
  <si>
    <t>https://www.flipsnack.com/USATF/usatf-2025-minor-athlete-abuse-prevention-policies/full-view.html</t>
  </si>
  <si>
    <t>https://www.usatf.org/governance/rule-books</t>
  </si>
  <si>
    <t>Basketball</t>
  </si>
  <si>
    <t>NBA</t>
  </si>
  <si>
    <t>FIBA</t>
  </si>
  <si>
    <t>FIBA Cont.</t>
  </si>
  <si>
    <t>NBPA-CBA</t>
  </si>
  <si>
    <t>https://deepdiveref.com/wp-content/uploads/2022/11/2022-2023-NBA-RULE-BOOK.pdf</t>
  </si>
  <si>
    <t>https://assets.fiba.basketball/image/upload/documents-corporate-fiba-official-rules-2024-v10a.pdf</t>
  </si>
  <si>
    <t>https://assets.fiba.basketball/image/upload/documents-corporate-fiba-regulations-internal-regulations-book-1.pdf</t>
  </si>
  <si>
    <t>https://imgix.cosmicjs.com/25da5eb0-15eb-11ee-b5b3-fbd321202bdf-Final-2023-NBA-Collective-Bargaining-Agreement-6-28-23.pdf</t>
  </si>
  <si>
    <t xml:space="preserve"> https://assets.fiba.basketball/image/upload/documents-corporate-fiba-official-rules-2024-official-basketball-rules-and-basketball-equipment.pdf</t>
  </si>
  <si>
    <t>https://assets.fiba.basketball/image/upload/documents-corporate-fiba-activity-reports-2023-25-eng.pdf</t>
  </si>
  <si>
    <t xml:space="preserve"> https://assets.fiba.basketball/image/upload/documents-corporate-fiba-regulations-general-statutes-2025-eng.pdf</t>
  </si>
  <si>
    <t xml:space="preserve"> https://assets.fiba.basketball/image/upload/documents-corporate-fiba-equipment-and-venue-centre-fiba-approval-programs-basketball-software-regulations-2024-2025.pdf</t>
  </si>
  <si>
    <t>https://assets.fiba.basketball/image/upload/documents-corporate-fiba-regulations-general-statutes-2025-eng.pdf</t>
  </si>
  <si>
    <t xml:space="preserve"> https://assets.fiba.basketball/image/upload/documents-corporate-bat-bat-privacy-policy.pdf</t>
  </si>
  <si>
    <t>https://assets.fiba.basketball/image/upload/documents-corporate-fiba-regulations-internal-regulations-book-5.pdf</t>
  </si>
  <si>
    <t xml:space="preserve"> https://assets.fiba.basketball/image/upload/documents-corporate-fiba-regulations-internal-regulations-book-4.pdf</t>
  </si>
  <si>
    <t>https://assets.fiba.basketball/image/upload/documents-corporate-fiba-policys-and-rules-venue-rules-eng.pdf</t>
  </si>
  <si>
    <t>https://assets.fiba.basketball/image/upload/documents-corporate-fiba-policys-and-rules-safeguarding-policy-v20-2022.pdf</t>
  </si>
  <si>
    <t xml:space="preserve">NCAA Sports </t>
  </si>
  <si>
    <t>NCAA</t>
  </si>
  <si>
    <t>SEC</t>
  </si>
  <si>
    <t>https://www.ncaapublications.com/</t>
  </si>
  <si>
    <t>https://www.secsports.com/sec-bylaws</t>
  </si>
  <si>
    <t>https://www.secsports.com/commissioners-regulations</t>
  </si>
  <si>
    <t>USOPC</t>
  </si>
  <si>
    <t xml:space="preserve"> https://assets.contentstack.io/v3/assets/blt9e58afd92a18a0fc/blt76e3da4041b3e6ce/64371f916bfe3410b96a9355/Ted_Stevens_Act_FINAL-ua.pdf</t>
  </si>
  <si>
    <t>https://assets.contentstack.io/v3/assets/blt9e58afd92a18a0fc/bltb00f31063541113d/679a96a439c11adae11385f9/USOPC_Bylaws_-_February_1_2025_-_final_for_publication_FINAL-ua.pdf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</si>
</sst>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u/>
      <sz val="12"/>
      <color rgb="FF0000FF"/>
      <name val="Arial"/>
      <family val="2"/>
    </font>
    <font>
      <sz val="11"/>
      <color rgb="FF000000"/>
      <name val="Arial"/>
      <family val="2"/>
    </font>
    <font>
      <sz val="12"/>
      <color theme="1"/>
      <name val="Aptos Narrow"/>
    </font>
    <font>
      <u/>
      <sz val="12"/>
      <color theme="10"/>
      <name val="Aptos Narrow"/>
    </font>
    <font>
      <u/>
      <sz val="12"/>
      <color rgb="FF0000FF"/>
      <name val="Arial"/>
      <family val="2"/>
    </font>
    <font>
      <u/>
      <sz val="12"/>
      <color theme="10"/>
      <name val="Aptos Narrow"/>
    </font>
    <font>
      <sz val="12"/>
      <color rgb="FFFF0000"/>
      <name val="Aptos Narrow"/>
    </font>
    <font>
      <u/>
      <sz val="12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5DCF7"/>
        <bgColor rgb="FF95DC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1"/>
    <xf numFmtId="0" fontId="10" fillId="0" borderId="1"/>
  </cellStyleXfs>
  <cellXfs count="18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10" fontId="2" fillId="0" borderId="0" xfId="0" applyNumberFormat="1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8" fillId="0" borderId="0" xfId="0" applyFont="1" applyBorder="1"/>
    <xf numFmtId="0" fontId="9" fillId="3" borderId="1" xfId="0" applyFont="1" applyFill="1"/>
    <xf numFmtId="0" fontId="9" fillId="3" borderId="2" xfId="0" applyFont="1" applyFill="1" applyBorder="1"/>
    <xf numFmtId="0" fontId="10" fillId="0" borderId="0" xfId="1" applyBorder="1"/>
    <xf numFmtId="0" fontId="10" fillId="0" borderId="1" xfId="1"/>
    <xf numFmtId="0" fontId="10" fillId="0" borderId="1" xfId="1" applyAlignment="1">
      <alignment horizontal="left"/>
    </xf>
    <xf numFmtId="0" fontId="1" fillId="2" borderId="1" xfId="0" applyFont="1" applyFill="1" applyAlignment="1">
      <alignment horizontal="center"/>
    </xf>
    <xf numFmtId="0" fontId="0" fillId="0" borderId="0" xfId="0" applyBorder="1"/>
    <xf numFmtId="0" fontId="5" fillId="0" borderId="1" xfId="0" applyFont="1" applyAlignment="1">
      <alignment horizontal="center" vertical="center" textRotation="13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olicies/USATF2.pdf" TargetMode="External"/><Relationship Id="rId21" Type="http://schemas.openxmlformats.org/officeDocument/2006/relationships/hyperlink" Target="Policies/NWSL3.pdf" TargetMode="External"/><Relationship Id="rId42" Type="http://schemas.openxmlformats.org/officeDocument/2006/relationships/hyperlink" Target="Policies/World_Aquatics1.pdf" TargetMode="External"/><Relationship Id="rId47" Type="http://schemas.openxmlformats.org/officeDocument/2006/relationships/hyperlink" Target="Policies/WTA1.pdf" TargetMode="External"/><Relationship Id="rId63" Type="http://schemas.openxmlformats.org/officeDocument/2006/relationships/hyperlink" Target="Policies/ITF3.pdf" TargetMode="External"/><Relationship Id="rId68" Type="http://schemas.openxmlformats.org/officeDocument/2006/relationships/hyperlink" Target="Policies/ITF8.pdf" TargetMode="External"/><Relationship Id="rId84" Type="http://schemas.openxmlformats.org/officeDocument/2006/relationships/hyperlink" Target="Policies/WorldAthletics23.pdf" TargetMode="External"/><Relationship Id="rId89" Type="http://schemas.openxmlformats.org/officeDocument/2006/relationships/hyperlink" Target="Policies/WorldAthletics28.pdf" TargetMode="External"/><Relationship Id="rId112" Type="http://schemas.openxmlformats.org/officeDocument/2006/relationships/hyperlink" Target="Policies/WorldAthletics56.pdf" TargetMode="External"/><Relationship Id="rId16" Type="http://schemas.openxmlformats.org/officeDocument/2006/relationships/hyperlink" Target="Policies/NCAA1.pdf" TargetMode="External"/><Relationship Id="rId107" Type="http://schemas.openxmlformats.org/officeDocument/2006/relationships/hyperlink" Target="Policies/WorldAthletics51.pdf" TargetMode="External"/><Relationship Id="rId11" Type="http://schemas.openxmlformats.org/officeDocument/2006/relationships/hyperlink" Target="Policies/WADA5.pdf" TargetMode="External"/><Relationship Id="rId32" Type="http://schemas.openxmlformats.org/officeDocument/2006/relationships/hyperlink" Target="Policies/USSF7.pdf" TargetMode="External"/><Relationship Id="rId37" Type="http://schemas.openxmlformats.org/officeDocument/2006/relationships/hyperlink" Target="Policies/USA_Swimming2.pdf" TargetMode="External"/><Relationship Id="rId53" Type="http://schemas.openxmlformats.org/officeDocument/2006/relationships/hyperlink" Target="Policies/USTA2.pdf" TargetMode="External"/><Relationship Id="rId58" Type="http://schemas.openxmlformats.org/officeDocument/2006/relationships/hyperlink" Target="Policies/USTA7.pdf" TargetMode="External"/><Relationship Id="rId74" Type="http://schemas.openxmlformats.org/officeDocument/2006/relationships/hyperlink" Target="Policies/WorldAthletics6.pdf" TargetMode="External"/><Relationship Id="rId79" Type="http://schemas.openxmlformats.org/officeDocument/2006/relationships/hyperlink" Target="Policies/WorldAthletics17.pdf" TargetMode="External"/><Relationship Id="rId102" Type="http://schemas.openxmlformats.org/officeDocument/2006/relationships/hyperlink" Target="Policies/WorldAthletics46.pdf" TargetMode="External"/><Relationship Id="rId123" Type="http://schemas.openxmlformats.org/officeDocument/2006/relationships/hyperlink" Target="Policies/FIBA4.pdf" TargetMode="External"/><Relationship Id="rId128" Type="http://schemas.openxmlformats.org/officeDocument/2006/relationships/hyperlink" Target="Policies/FIBA9.pdf" TargetMode="External"/><Relationship Id="rId5" Type="http://schemas.openxmlformats.org/officeDocument/2006/relationships/hyperlink" Target="Policies/USADA5.pdf" TargetMode="External"/><Relationship Id="rId90" Type="http://schemas.openxmlformats.org/officeDocument/2006/relationships/hyperlink" Target="Policies/WorldAthletics29.pdf" TargetMode="External"/><Relationship Id="rId95" Type="http://schemas.openxmlformats.org/officeDocument/2006/relationships/hyperlink" Target="Policies/WorldAthletics38.pdf" TargetMode="External"/><Relationship Id="rId22" Type="http://schemas.openxmlformats.org/officeDocument/2006/relationships/hyperlink" Target="Policies/NWSL4.pdf" TargetMode="External"/><Relationship Id="rId27" Type="http://schemas.openxmlformats.org/officeDocument/2006/relationships/hyperlink" Target="Policies/USSF2.pdf" TargetMode="External"/><Relationship Id="rId43" Type="http://schemas.openxmlformats.org/officeDocument/2006/relationships/hyperlink" Target="Policies/World_Aquatics2.pdf" TargetMode="External"/><Relationship Id="rId48" Type="http://schemas.openxmlformats.org/officeDocument/2006/relationships/hyperlink" Target="Policies/WTA2.pdf" TargetMode="External"/><Relationship Id="rId64" Type="http://schemas.openxmlformats.org/officeDocument/2006/relationships/hyperlink" Target="Policies/ITF4.pdf" TargetMode="External"/><Relationship Id="rId69" Type="http://schemas.openxmlformats.org/officeDocument/2006/relationships/hyperlink" Target="Policies/WorldAthletics1.pdf" TargetMode="External"/><Relationship Id="rId113" Type="http://schemas.openxmlformats.org/officeDocument/2006/relationships/hyperlink" Target="Policies/WorldAthletics57.pdf" TargetMode="External"/><Relationship Id="rId118" Type="http://schemas.openxmlformats.org/officeDocument/2006/relationships/hyperlink" Target="Policies/USATF_Safesport.pdf" TargetMode="External"/><Relationship Id="rId80" Type="http://schemas.openxmlformats.org/officeDocument/2006/relationships/hyperlink" Target="Policies/WorldAthletics19.pdf" TargetMode="External"/><Relationship Id="rId85" Type="http://schemas.openxmlformats.org/officeDocument/2006/relationships/hyperlink" Target="Policies/WorldAthletics24.pdf" TargetMode="External"/><Relationship Id="rId12" Type="http://schemas.openxmlformats.org/officeDocument/2006/relationships/hyperlink" Target="Policies/WADA6.pdf" TargetMode="External"/><Relationship Id="rId17" Type="http://schemas.openxmlformats.org/officeDocument/2006/relationships/hyperlink" Target="Policies/SEC1.pdf" TargetMode="External"/><Relationship Id="rId33" Type="http://schemas.openxmlformats.org/officeDocument/2006/relationships/hyperlink" Target="Policies/FIFA1.pdf" TargetMode="External"/><Relationship Id="rId38" Type="http://schemas.openxmlformats.org/officeDocument/2006/relationships/hyperlink" Target="Policies/USA_Swimming3.pdf" TargetMode="External"/><Relationship Id="rId59" Type="http://schemas.openxmlformats.org/officeDocument/2006/relationships/hyperlink" Target="Policies/ITIA1.pdf" TargetMode="External"/><Relationship Id="rId103" Type="http://schemas.openxmlformats.org/officeDocument/2006/relationships/hyperlink" Target="Policies/WorldAthletics47.pdf" TargetMode="External"/><Relationship Id="rId108" Type="http://schemas.openxmlformats.org/officeDocument/2006/relationships/hyperlink" Target="Policies/WorldAthletics52.pdf" TargetMode="External"/><Relationship Id="rId124" Type="http://schemas.openxmlformats.org/officeDocument/2006/relationships/hyperlink" Target="Policies/FIBA5.pdf" TargetMode="External"/><Relationship Id="rId129" Type="http://schemas.openxmlformats.org/officeDocument/2006/relationships/hyperlink" Target="Policies/FIBA10.pdf" TargetMode="External"/><Relationship Id="rId54" Type="http://schemas.openxmlformats.org/officeDocument/2006/relationships/hyperlink" Target="Policies/USTA3.pdf" TargetMode="External"/><Relationship Id="rId70" Type="http://schemas.openxmlformats.org/officeDocument/2006/relationships/hyperlink" Target="Policies/WorldAthletics2.pdf" TargetMode="External"/><Relationship Id="rId75" Type="http://schemas.openxmlformats.org/officeDocument/2006/relationships/hyperlink" Target="Policies/WorldAthletics7.pdf" TargetMode="External"/><Relationship Id="rId91" Type="http://schemas.openxmlformats.org/officeDocument/2006/relationships/hyperlink" Target="Policies/WorldAthletics30.pdf" TargetMode="External"/><Relationship Id="rId96" Type="http://schemas.openxmlformats.org/officeDocument/2006/relationships/hyperlink" Target="Policies/WorldAthletics40.pdf" TargetMode="External"/><Relationship Id="rId1" Type="http://schemas.openxmlformats.org/officeDocument/2006/relationships/hyperlink" Target="Policies/USADA1.pdf" TargetMode="External"/><Relationship Id="rId6" Type="http://schemas.openxmlformats.org/officeDocument/2006/relationships/hyperlink" Target="Policies/USADA6.pdf" TargetMode="External"/><Relationship Id="rId23" Type="http://schemas.openxmlformats.org/officeDocument/2006/relationships/hyperlink" Target="Policies/NWSL5.pdf" TargetMode="External"/><Relationship Id="rId28" Type="http://schemas.openxmlformats.org/officeDocument/2006/relationships/hyperlink" Target="Policies/USSF3.pdf" TargetMode="External"/><Relationship Id="rId49" Type="http://schemas.openxmlformats.org/officeDocument/2006/relationships/hyperlink" Target="Policies/WTA3.pdf" TargetMode="External"/><Relationship Id="rId114" Type="http://schemas.openxmlformats.org/officeDocument/2006/relationships/hyperlink" Target="Policies/WorldAthletics58.pdf" TargetMode="External"/><Relationship Id="rId119" Type="http://schemas.openxmlformats.org/officeDocument/2006/relationships/hyperlink" Target="Policies/NBA.pdf" TargetMode="External"/><Relationship Id="rId44" Type="http://schemas.openxmlformats.org/officeDocument/2006/relationships/hyperlink" Target="Policies/World_Aquatics3.pdf" TargetMode="External"/><Relationship Id="rId60" Type="http://schemas.openxmlformats.org/officeDocument/2006/relationships/hyperlink" Target="Policies/ITIA2.pdf" TargetMode="External"/><Relationship Id="rId65" Type="http://schemas.openxmlformats.org/officeDocument/2006/relationships/hyperlink" Target="Policies/ITF5.pdf" TargetMode="External"/><Relationship Id="rId81" Type="http://schemas.openxmlformats.org/officeDocument/2006/relationships/hyperlink" Target="Policies/WorldAthletics20.pdf" TargetMode="External"/><Relationship Id="rId86" Type="http://schemas.openxmlformats.org/officeDocument/2006/relationships/hyperlink" Target="Policies/WorldAthletics25.pdf" TargetMode="External"/><Relationship Id="rId130" Type="http://schemas.openxmlformats.org/officeDocument/2006/relationships/hyperlink" Target="Policies/FIBA11.pdf" TargetMode="External"/><Relationship Id="rId13" Type="http://schemas.openxmlformats.org/officeDocument/2006/relationships/hyperlink" Target="Policies/WADA7.pdf" TargetMode="External"/><Relationship Id="rId18" Type="http://schemas.openxmlformats.org/officeDocument/2006/relationships/hyperlink" Target="Policies/SEC2.pdf" TargetMode="External"/><Relationship Id="rId39" Type="http://schemas.openxmlformats.org/officeDocument/2006/relationships/hyperlink" Target="Policies/USA_Swimming4.pdf" TargetMode="External"/><Relationship Id="rId109" Type="http://schemas.openxmlformats.org/officeDocument/2006/relationships/hyperlink" Target="Policies/WorldAthletics53.pdf" TargetMode="External"/><Relationship Id="rId34" Type="http://schemas.openxmlformats.org/officeDocument/2006/relationships/hyperlink" Target="Policies/FIFA2.pdf" TargetMode="External"/><Relationship Id="rId50" Type="http://schemas.openxmlformats.org/officeDocument/2006/relationships/hyperlink" Target="Policies/WTA4.pdf" TargetMode="External"/><Relationship Id="rId55" Type="http://schemas.openxmlformats.org/officeDocument/2006/relationships/hyperlink" Target="Policies/USTA4.pdf" TargetMode="External"/><Relationship Id="rId76" Type="http://schemas.openxmlformats.org/officeDocument/2006/relationships/hyperlink" Target="Policies/WorldAthletics14.pdf" TargetMode="External"/><Relationship Id="rId97" Type="http://schemas.openxmlformats.org/officeDocument/2006/relationships/hyperlink" Target="Policies/WorldAthletics41.pdf" TargetMode="External"/><Relationship Id="rId104" Type="http://schemas.openxmlformats.org/officeDocument/2006/relationships/hyperlink" Target="Policies/WorldAthletics48.pdf" TargetMode="External"/><Relationship Id="rId120" Type="http://schemas.openxmlformats.org/officeDocument/2006/relationships/hyperlink" Target="Policies/FIBA1.pdf" TargetMode="External"/><Relationship Id="rId125" Type="http://schemas.openxmlformats.org/officeDocument/2006/relationships/hyperlink" Target="Policies/FIBA6.pdf" TargetMode="External"/><Relationship Id="rId7" Type="http://schemas.openxmlformats.org/officeDocument/2006/relationships/hyperlink" Target="Policies/WADA1.pdf" TargetMode="External"/><Relationship Id="rId71" Type="http://schemas.openxmlformats.org/officeDocument/2006/relationships/hyperlink" Target="Policies/WorldAthletics3.pdf" TargetMode="External"/><Relationship Id="rId92" Type="http://schemas.openxmlformats.org/officeDocument/2006/relationships/hyperlink" Target="Policies/WorldAthletics31.pdf" TargetMode="External"/><Relationship Id="rId2" Type="http://schemas.openxmlformats.org/officeDocument/2006/relationships/hyperlink" Target="Policies/USADA2.pdf" TargetMode="External"/><Relationship Id="rId29" Type="http://schemas.openxmlformats.org/officeDocument/2006/relationships/hyperlink" Target="Policies/USSF4.pdf" TargetMode="External"/><Relationship Id="rId24" Type="http://schemas.openxmlformats.org/officeDocument/2006/relationships/hyperlink" Target="Policies/NWSL6.pdf" TargetMode="External"/><Relationship Id="rId40" Type="http://schemas.openxmlformats.org/officeDocument/2006/relationships/hyperlink" Target="Policies/USA_Swimming5.pdf" TargetMode="External"/><Relationship Id="rId45" Type="http://schemas.openxmlformats.org/officeDocument/2006/relationships/hyperlink" Target="Policies/SafeSport1.pdf" TargetMode="External"/><Relationship Id="rId66" Type="http://schemas.openxmlformats.org/officeDocument/2006/relationships/hyperlink" Target="Policies/ITF6.pdf" TargetMode="External"/><Relationship Id="rId87" Type="http://schemas.openxmlformats.org/officeDocument/2006/relationships/hyperlink" Target="Policies/WorldAthletics26.pdf" TargetMode="External"/><Relationship Id="rId110" Type="http://schemas.openxmlformats.org/officeDocument/2006/relationships/hyperlink" Target="Policies/WorldAthletics54.pdf" TargetMode="External"/><Relationship Id="rId115" Type="http://schemas.openxmlformats.org/officeDocument/2006/relationships/hyperlink" Target="Policies/WorldAthletics59.pdf" TargetMode="External"/><Relationship Id="rId131" Type="http://schemas.openxmlformats.org/officeDocument/2006/relationships/hyperlink" Target="Policies/NBA_CBA.pdf" TargetMode="External"/><Relationship Id="rId61" Type="http://schemas.openxmlformats.org/officeDocument/2006/relationships/hyperlink" Target="Policies/ITF1.pdf" TargetMode="External"/><Relationship Id="rId82" Type="http://schemas.openxmlformats.org/officeDocument/2006/relationships/hyperlink" Target="Policies/WorldAthletics21.pdf" TargetMode="External"/><Relationship Id="rId19" Type="http://schemas.openxmlformats.org/officeDocument/2006/relationships/hyperlink" Target="Policies/NWSL1.pdf" TargetMode="External"/><Relationship Id="rId14" Type="http://schemas.openxmlformats.org/officeDocument/2006/relationships/hyperlink" Target="Policies/WADA8.pdf" TargetMode="External"/><Relationship Id="rId30" Type="http://schemas.openxmlformats.org/officeDocument/2006/relationships/hyperlink" Target="Policies/USSF5.pdf" TargetMode="External"/><Relationship Id="rId35" Type="http://schemas.openxmlformats.org/officeDocument/2006/relationships/hyperlink" Target="Policies/IFAB.pdf" TargetMode="External"/><Relationship Id="rId56" Type="http://schemas.openxmlformats.org/officeDocument/2006/relationships/hyperlink" Target="Policies/USTA5.pdf" TargetMode="External"/><Relationship Id="rId77" Type="http://schemas.openxmlformats.org/officeDocument/2006/relationships/hyperlink" Target="Policies/WorldAthletics15.pdf" TargetMode="External"/><Relationship Id="rId100" Type="http://schemas.openxmlformats.org/officeDocument/2006/relationships/hyperlink" Target="Policies/WorldAthletics44.pdf" TargetMode="External"/><Relationship Id="rId105" Type="http://schemas.openxmlformats.org/officeDocument/2006/relationships/hyperlink" Target="Policies/WorldAthletics49.pdf" TargetMode="External"/><Relationship Id="rId126" Type="http://schemas.openxmlformats.org/officeDocument/2006/relationships/hyperlink" Target="Policies/FIBA7.pdf" TargetMode="External"/><Relationship Id="rId8" Type="http://schemas.openxmlformats.org/officeDocument/2006/relationships/hyperlink" Target="Policies/WADA2.pdf" TargetMode="External"/><Relationship Id="rId51" Type="http://schemas.openxmlformats.org/officeDocument/2006/relationships/hyperlink" Target="Policies/PTPA.pdf" TargetMode="External"/><Relationship Id="rId72" Type="http://schemas.openxmlformats.org/officeDocument/2006/relationships/hyperlink" Target="Policies/WorldAthletics4.pdf" TargetMode="External"/><Relationship Id="rId93" Type="http://schemas.openxmlformats.org/officeDocument/2006/relationships/hyperlink" Target="Policies/WorldAthletics33.pdf" TargetMode="External"/><Relationship Id="rId98" Type="http://schemas.openxmlformats.org/officeDocument/2006/relationships/hyperlink" Target="Policies/WorldAthletics42.pdf" TargetMode="External"/><Relationship Id="rId121" Type="http://schemas.openxmlformats.org/officeDocument/2006/relationships/hyperlink" Target="https://assets.fiba.basketball/image/upload/documents-corporate-fiba-activity-reports-2023-25-eng.pdf" TargetMode="External"/><Relationship Id="rId3" Type="http://schemas.openxmlformats.org/officeDocument/2006/relationships/hyperlink" Target="Policies/USADA3.pdf" TargetMode="External"/><Relationship Id="rId25" Type="http://schemas.openxmlformats.org/officeDocument/2006/relationships/hyperlink" Target="Policies/NWSL7.pdf" TargetMode="External"/><Relationship Id="rId46" Type="http://schemas.openxmlformats.org/officeDocument/2006/relationships/hyperlink" Target="Policies/SafeSport2.pdf" TargetMode="External"/><Relationship Id="rId67" Type="http://schemas.openxmlformats.org/officeDocument/2006/relationships/hyperlink" Target="Policies/ITF7.pdf" TargetMode="External"/><Relationship Id="rId116" Type="http://schemas.openxmlformats.org/officeDocument/2006/relationships/hyperlink" Target="Policies/USATF1.pdf" TargetMode="External"/><Relationship Id="rId20" Type="http://schemas.openxmlformats.org/officeDocument/2006/relationships/hyperlink" Target="Policies/NWSL2.pdf" TargetMode="External"/><Relationship Id="rId41" Type="http://schemas.openxmlformats.org/officeDocument/2006/relationships/hyperlink" Target="Policies/USA_Swimming6.pdf" TargetMode="External"/><Relationship Id="rId62" Type="http://schemas.openxmlformats.org/officeDocument/2006/relationships/hyperlink" Target="Policies/ITF2.pdf" TargetMode="External"/><Relationship Id="rId83" Type="http://schemas.openxmlformats.org/officeDocument/2006/relationships/hyperlink" Target="Policies/WorldAthletics22.pdf" TargetMode="External"/><Relationship Id="rId88" Type="http://schemas.openxmlformats.org/officeDocument/2006/relationships/hyperlink" Target="Policies/WorldAthletics27.pdf" TargetMode="External"/><Relationship Id="rId111" Type="http://schemas.openxmlformats.org/officeDocument/2006/relationships/hyperlink" Target="Policies/WorldAthletics55.pdf" TargetMode="External"/><Relationship Id="rId15" Type="http://schemas.openxmlformats.org/officeDocument/2006/relationships/hyperlink" Target="Policies/USOPC2.pdf" TargetMode="External"/><Relationship Id="rId36" Type="http://schemas.openxmlformats.org/officeDocument/2006/relationships/hyperlink" Target="Policies/USA_Swimming1.pdf" TargetMode="External"/><Relationship Id="rId57" Type="http://schemas.openxmlformats.org/officeDocument/2006/relationships/hyperlink" Target="Policies/USTA6.pdf" TargetMode="External"/><Relationship Id="rId106" Type="http://schemas.openxmlformats.org/officeDocument/2006/relationships/hyperlink" Target="Policies/WorldAthletics50.pdf" TargetMode="External"/><Relationship Id="rId127" Type="http://schemas.openxmlformats.org/officeDocument/2006/relationships/hyperlink" Target="Policies/FIBA8.pdf" TargetMode="External"/><Relationship Id="rId10" Type="http://schemas.openxmlformats.org/officeDocument/2006/relationships/hyperlink" Target="Policies/WADA4.pdf" TargetMode="External"/><Relationship Id="rId31" Type="http://schemas.openxmlformats.org/officeDocument/2006/relationships/hyperlink" Target="Policies/USSF6.pdf" TargetMode="External"/><Relationship Id="rId52" Type="http://schemas.openxmlformats.org/officeDocument/2006/relationships/hyperlink" Target="Policies/USTA1.pdf" TargetMode="External"/><Relationship Id="rId73" Type="http://schemas.openxmlformats.org/officeDocument/2006/relationships/hyperlink" Target="Policies/WorldAthletics5.pdf" TargetMode="External"/><Relationship Id="rId78" Type="http://schemas.openxmlformats.org/officeDocument/2006/relationships/hyperlink" Target="Policies/WorldAthletics16.pdf" TargetMode="External"/><Relationship Id="rId94" Type="http://schemas.openxmlformats.org/officeDocument/2006/relationships/hyperlink" Target="Policies/WorldAthletics36.pdf" TargetMode="External"/><Relationship Id="rId99" Type="http://schemas.openxmlformats.org/officeDocument/2006/relationships/hyperlink" Target="Policies/WorldAthletics43.pdf" TargetMode="External"/><Relationship Id="rId101" Type="http://schemas.openxmlformats.org/officeDocument/2006/relationships/hyperlink" Target="Policies/WorldAthletics45.pdf" TargetMode="External"/><Relationship Id="rId122" Type="http://schemas.openxmlformats.org/officeDocument/2006/relationships/hyperlink" Target="Policies/FIBA3.pdf" TargetMode="External"/><Relationship Id="rId4" Type="http://schemas.openxmlformats.org/officeDocument/2006/relationships/hyperlink" Target="Policies/USADA4.pdf" TargetMode="External"/><Relationship Id="rId9" Type="http://schemas.openxmlformats.org/officeDocument/2006/relationships/hyperlink" Target="Policies/WADA3.pdf" TargetMode="External"/><Relationship Id="rId26" Type="http://schemas.openxmlformats.org/officeDocument/2006/relationships/hyperlink" Target="Policies/USSF1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itedevsa.blob.core.windows.net/sitefinity/docs/default-source/governance/governance-lsc-website/rules_policies/gifts-and-entertainment-policy_083629d0-50ed-4b82-8ae6-9dc004087581.pdf" TargetMode="External"/><Relationship Id="rId3" Type="http://schemas.openxmlformats.org/officeDocument/2006/relationships/hyperlink" Target="https://www.wada-ama.org/en/resources/world-anti-doping-code-and-international-standards/international-standard-testing-and" TargetMode="External"/><Relationship Id="rId7" Type="http://schemas.openxmlformats.org/officeDocument/2006/relationships/hyperlink" Target="https://resources.fina.org/fina/document/2025/08/20/56fb7c58-c0b8-4556-b74b-2bfc366f340d/World-Aquatics-Constitution-Version-in-force-as-from-29-July-2025.pdf" TargetMode="External"/><Relationship Id="rId2" Type="http://schemas.openxmlformats.org/officeDocument/2006/relationships/hyperlink" Target="https://digitalhub.fifa.com/m/696d877ea35ca761/original/Regulations-on-the-Status-and-Transfer-of-Players-January-2025-edition.pdf" TargetMode="External"/><Relationship Id="rId1" Type="http://schemas.openxmlformats.org/officeDocument/2006/relationships/hyperlink" Target="https://downloads.theifab.com/downloads/laws-of-the-game-2025-26-single-pages?l=en" TargetMode="External"/><Relationship Id="rId6" Type="http://schemas.openxmlformats.org/officeDocument/2006/relationships/hyperlink" Target="https://resources.fina.org/fina/document/2025/07/24/b22e5c11-4817-4fa7-9d0c-1fbd7c4eb8fb/World-Aquatics-By-laws-Valid-from-20.06.2025.pdf" TargetMode="External"/><Relationship Id="rId5" Type="http://schemas.openxmlformats.org/officeDocument/2006/relationships/hyperlink" Target="https://www.usada.org/wp-content/uploads/USADA_Whereabouts-Policy.pdf" TargetMode="External"/><Relationship Id="rId10" Type="http://schemas.openxmlformats.org/officeDocument/2006/relationships/hyperlink" Target="https://assets.fiba.basketball/image/upload/documents-corporate-fiba-policys-and-rules-venue-rules-eng.pdf" TargetMode="External"/><Relationship Id="rId4" Type="http://schemas.openxmlformats.org/officeDocument/2006/relationships/hyperlink" Target="https://www.wada-ama.org/en/resources/world-anti-doping-code-and-international-standards/international-standard-laboratories" TargetMode="External"/><Relationship Id="rId9" Type="http://schemas.openxmlformats.org/officeDocument/2006/relationships/hyperlink" Target="https://ptpaplayers.com/wp-content/uploads/2022/12/ptpa-princip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7"/>
  <sheetViews>
    <sheetView tabSelected="1" workbookViewId="0">
      <pane ySplit="1" topLeftCell="A110" activePane="bottomLeft" state="frozen"/>
      <selection pane="bottomLeft" activeCell="A144" sqref="A144"/>
    </sheetView>
  </sheetViews>
  <sheetFormatPr baseColWidth="10" defaultColWidth="11.1640625" defaultRowHeight="15" customHeight="1" x14ac:dyDescent="0.2"/>
  <cols>
    <col min="1" max="1" width="29.1640625" customWidth="1"/>
    <col min="3" max="3" width="24.5" customWidth="1"/>
    <col min="4" max="4" width="21.83203125" customWidth="1"/>
    <col min="5" max="5" width="18.6640625" customWidth="1"/>
    <col min="6" max="6" width="15.5" customWidth="1"/>
    <col min="7" max="7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">
      <c r="A2" s="15" t="s">
        <v>4</v>
      </c>
      <c r="B2" s="16"/>
      <c r="C2" s="16"/>
      <c r="D2" s="16"/>
      <c r="E2" s="1" t="s">
        <v>5</v>
      </c>
      <c r="F2" s="1" t="s">
        <v>6</v>
      </c>
      <c r="G2" s="1" t="s">
        <v>7</v>
      </c>
    </row>
    <row r="3" spans="1:7" x14ac:dyDescent="0.2">
      <c r="A3" s="12" t="s">
        <v>8</v>
      </c>
      <c r="B3" s="1">
        <v>37</v>
      </c>
      <c r="C3" s="1" t="s">
        <v>9</v>
      </c>
      <c r="E3" s="1">
        <f>SUM(B3:B155)- F3</f>
        <v>7572</v>
      </c>
      <c r="F3" s="2">
        <f>SUMIF(C:C, "Incomplete", B:B)</f>
        <v>0</v>
      </c>
      <c r="G3" s="3">
        <f>E3/SUM(B3:B155)</f>
        <v>1</v>
      </c>
    </row>
    <row r="4" spans="1:7" x14ac:dyDescent="0.2">
      <c r="A4" s="13" t="s">
        <v>10</v>
      </c>
      <c r="B4" s="1">
        <v>15</v>
      </c>
      <c r="C4" s="1" t="s">
        <v>9</v>
      </c>
      <c r="E4" s="1" t="s">
        <v>11</v>
      </c>
      <c r="F4" s="1" t="s">
        <v>12</v>
      </c>
      <c r="G4" s="1" t="s">
        <v>13</v>
      </c>
    </row>
    <row r="5" spans="1:7" x14ac:dyDescent="0.2">
      <c r="A5" s="13" t="s">
        <v>14</v>
      </c>
      <c r="B5" s="1">
        <v>9</v>
      </c>
      <c r="C5" s="1" t="s">
        <v>9</v>
      </c>
      <c r="E5" s="1">
        <f>COUNTIF(B3:B155, "&gt;0")- F5</f>
        <v>131</v>
      </c>
      <c r="F5" s="2">
        <f>COUNTIFS(C:C, "Incomplete", B:B, "&gt;0")</f>
        <v>0</v>
      </c>
      <c r="G5" s="3">
        <f>E5/COUNTIF(B3:B155, "&gt;0")</f>
        <v>1</v>
      </c>
    </row>
    <row r="6" spans="1:7" x14ac:dyDescent="0.2">
      <c r="A6" s="13" t="s">
        <v>15</v>
      </c>
      <c r="B6" s="1">
        <v>2</v>
      </c>
      <c r="C6" s="1" t="s">
        <v>16</v>
      </c>
    </row>
    <row r="7" spans="1:7" x14ac:dyDescent="0.2">
      <c r="A7" s="13" t="s">
        <v>17</v>
      </c>
      <c r="B7" s="1">
        <v>3</v>
      </c>
      <c r="C7" s="1" t="s">
        <v>16</v>
      </c>
      <c r="D7" s="1" t="s">
        <v>18</v>
      </c>
    </row>
    <row r="8" spans="1:7" x14ac:dyDescent="0.2">
      <c r="A8" s="13" t="s">
        <v>19</v>
      </c>
      <c r="B8" s="1">
        <v>184</v>
      </c>
      <c r="C8" s="1" t="s">
        <v>9</v>
      </c>
      <c r="D8" s="1" t="s">
        <v>20</v>
      </c>
    </row>
    <row r="9" spans="1:7" x14ac:dyDescent="0.2">
      <c r="A9" s="15" t="s">
        <v>21</v>
      </c>
      <c r="B9" s="16"/>
      <c r="C9" s="16"/>
      <c r="D9" s="16"/>
    </row>
    <row r="10" spans="1:7" x14ac:dyDescent="0.2">
      <c r="A10" s="13" t="s">
        <v>22</v>
      </c>
      <c r="B10" s="1">
        <v>24</v>
      </c>
      <c r="C10" s="1" t="s">
        <v>16</v>
      </c>
    </row>
    <row r="11" spans="1:7" x14ac:dyDescent="0.2">
      <c r="A11" s="13" t="s">
        <v>23</v>
      </c>
      <c r="B11" s="1">
        <v>23</v>
      </c>
      <c r="C11" s="1" t="s">
        <v>16</v>
      </c>
    </row>
    <row r="12" spans="1:7" x14ac:dyDescent="0.2">
      <c r="A12" s="13" t="s">
        <v>24</v>
      </c>
      <c r="B12" s="1">
        <v>19</v>
      </c>
      <c r="C12" s="1" t="s">
        <v>16</v>
      </c>
    </row>
    <row r="13" spans="1:7" x14ac:dyDescent="0.2">
      <c r="A13" s="13" t="s">
        <v>25</v>
      </c>
      <c r="B13" s="1">
        <v>24</v>
      </c>
      <c r="C13" s="1" t="s">
        <v>9</v>
      </c>
    </row>
    <row r="14" spans="1:7" x14ac:dyDescent="0.2">
      <c r="A14" s="13" t="s">
        <v>26</v>
      </c>
      <c r="B14" s="1">
        <v>160</v>
      </c>
      <c r="C14" s="1" t="s">
        <v>16</v>
      </c>
      <c r="D14" s="1" t="s">
        <v>27</v>
      </c>
    </row>
    <row r="15" spans="1:7" x14ac:dyDescent="0.2">
      <c r="A15" s="13" t="s">
        <v>28</v>
      </c>
      <c r="B15" s="1">
        <v>92</v>
      </c>
      <c r="C15" s="1" t="s">
        <v>9</v>
      </c>
    </row>
    <row r="16" spans="1:7" x14ac:dyDescent="0.2">
      <c r="A16" s="13" t="s">
        <v>29</v>
      </c>
      <c r="B16" s="1">
        <v>62</v>
      </c>
      <c r="C16" s="1" t="s">
        <v>16</v>
      </c>
    </row>
    <row r="17" spans="1:4" x14ac:dyDescent="0.2">
      <c r="A17" s="13" t="s">
        <v>30</v>
      </c>
      <c r="B17" s="1">
        <v>54</v>
      </c>
      <c r="C17" s="1" t="s">
        <v>9</v>
      </c>
    </row>
    <row r="18" spans="1:4" x14ac:dyDescent="0.2">
      <c r="A18" s="15" t="s">
        <v>31</v>
      </c>
      <c r="B18" s="16"/>
      <c r="C18" s="16"/>
      <c r="D18" s="16"/>
    </row>
    <row r="19" spans="1:4" x14ac:dyDescent="0.2">
      <c r="A19" s="13" t="s">
        <v>32</v>
      </c>
      <c r="B19" s="1">
        <v>72</v>
      </c>
      <c r="C19" s="1" t="s">
        <v>16</v>
      </c>
    </row>
    <row r="20" spans="1:4" x14ac:dyDescent="0.2">
      <c r="A20" s="15" t="s">
        <v>33</v>
      </c>
      <c r="B20" s="16"/>
      <c r="C20" s="16"/>
      <c r="D20" s="16"/>
    </row>
    <row r="21" spans="1:4" x14ac:dyDescent="0.2">
      <c r="A21" s="13" t="s">
        <v>34</v>
      </c>
      <c r="B21" s="1">
        <v>429</v>
      </c>
      <c r="C21" s="1" t="s">
        <v>9</v>
      </c>
    </row>
    <row r="22" spans="1:4" x14ac:dyDescent="0.2">
      <c r="A22" s="15" t="s">
        <v>35</v>
      </c>
      <c r="B22" s="16"/>
      <c r="C22" s="16"/>
      <c r="D22" s="16"/>
    </row>
    <row r="23" spans="1:4" x14ac:dyDescent="0.2">
      <c r="A23" s="13" t="s">
        <v>36</v>
      </c>
      <c r="B23" s="1">
        <v>185</v>
      </c>
      <c r="C23" s="1" t="s">
        <v>16</v>
      </c>
    </row>
    <row r="24" spans="1:4" x14ac:dyDescent="0.2">
      <c r="A24" s="13" t="s">
        <v>37</v>
      </c>
      <c r="B24" s="1">
        <v>48</v>
      </c>
      <c r="C24" s="1" t="s">
        <v>16</v>
      </c>
      <c r="D24" s="1" t="s">
        <v>38</v>
      </c>
    </row>
    <row r="25" spans="1:4" x14ac:dyDescent="0.2">
      <c r="A25" s="15" t="s">
        <v>39</v>
      </c>
      <c r="B25" s="16"/>
      <c r="C25" s="16"/>
      <c r="D25" s="16"/>
    </row>
    <row r="26" spans="1:4" x14ac:dyDescent="0.2">
      <c r="A26" s="13" t="s">
        <v>40</v>
      </c>
      <c r="B26" s="1">
        <v>2</v>
      </c>
      <c r="C26" s="1" t="s">
        <v>16</v>
      </c>
    </row>
    <row r="27" spans="1:4" x14ac:dyDescent="0.2">
      <c r="A27" s="13" t="s">
        <v>41</v>
      </c>
      <c r="B27" s="1">
        <v>118</v>
      </c>
      <c r="C27" s="1" t="s">
        <v>9</v>
      </c>
    </row>
    <row r="28" spans="1:4" x14ac:dyDescent="0.2">
      <c r="A28" s="13" t="s">
        <v>42</v>
      </c>
      <c r="B28" s="1">
        <v>10</v>
      </c>
      <c r="C28" s="1" t="s">
        <v>16</v>
      </c>
    </row>
    <row r="29" spans="1:4" x14ac:dyDescent="0.2">
      <c r="A29" s="13" t="s">
        <v>43</v>
      </c>
      <c r="B29" s="1">
        <v>59</v>
      </c>
      <c r="C29" s="1" t="s">
        <v>16</v>
      </c>
    </row>
    <row r="30" spans="1:4" x14ac:dyDescent="0.2">
      <c r="A30" s="13" t="s">
        <v>44</v>
      </c>
      <c r="B30" s="1">
        <v>22</v>
      </c>
      <c r="C30" s="1" t="s">
        <v>16</v>
      </c>
    </row>
    <row r="31" spans="1:4" x14ac:dyDescent="0.2">
      <c r="A31" s="13" t="s">
        <v>45</v>
      </c>
      <c r="B31" s="1">
        <v>2</v>
      </c>
      <c r="C31" s="1" t="s">
        <v>16</v>
      </c>
    </row>
    <row r="32" spans="1:4" x14ac:dyDescent="0.2">
      <c r="A32" s="13" t="s">
        <v>46</v>
      </c>
      <c r="B32" s="1">
        <v>2</v>
      </c>
      <c r="C32" s="1" t="s">
        <v>16</v>
      </c>
    </row>
    <row r="33" spans="1:4" x14ac:dyDescent="0.2">
      <c r="A33" s="15" t="s">
        <v>47</v>
      </c>
      <c r="B33" s="16"/>
      <c r="C33" s="16"/>
      <c r="D33" s="16"/>
    </row>
    <row r="34" spans="1:4" x14ac:dyDescent="0.2">
      <c r="A34" s="13" t="s">
        <v>48</v>
      </c>
      <c r="B34" s="1">
        <v>4</v>
      </c>
      <c r="C34" s="1" t="s">
        <v>16</v>
      </c>
    </row>
    <row r="35" spans="1:4" x14ac:dyDescent="0.2">
      <c r="A35" s="13" t="s">
        <v>49</v>
      </c>
      <c r="B35" s="1">
        <v>2</v>
      </c>
      <c r="C35" s="1" t="s">
        <v>16</v>
      </c>
    </row>
    <row r="36" spans="1:4" x14ac:dyDescent="0.2">
      <c r="A36" s="13" t="s">
        <v>50</v>
      </c>
      <c r="B36" s="1">
        <v>7</v>
      </c>
      <c r="C36" s="1" t="s">
        <v>16</v>
      </c>
    </row>
    <row r="37" spans="1:4" x14ac:dyDescent="0.2">
      <c r="A37" s="13" t="s">
        <v>51</v>
      </c>
      <c r="B37" s="1">
        <v>55</v>
      </c>
      <c r="C37" s="1" t="s">
        <v>16</v>
      </c>
    </row>
    <row r="38" spans="1:4" x14ac:dyDescent="0.2">
      <c r="A38" s="13" t="s">
        <v>52</v>
      </c>
      <c r="B38" s="1">
        <v>64</v>
      </c>
      <c r="C38" s="1" t="s">
        <v>16</v>
      </c>
    </row>
    <row r="39" spans="1:4" x14ac:dyDescent="0.2">
      <c r="A39" s="13" t="s">
        <v>53</v>
      </c>
      <c r="B39" s="1">
        <v>5</v>
      </c>
      <c r="C39" s="1" t="s">
        <v>16</v>
      </c>
    </row>
    <row r="40" spans="1:4" x14ac:dyDescent="0.2">
      <c r="A40" s="13" t="s">
        <v>54</v>
      </c>
      <c r="B40" s="1">
        <v>7</v>
      </c>
      <c r="C40" s="1" t="s">
        <v>16</v>
      </c>
      <c r="D40" s="1" t="s">
        <v>55</v>
      </c>
    </row>
    <row r="41" spans="1:4" x14ac:dyDescent="0.2">
      <c r="A41" s="15" t="s">
        <v>56</v>
      </c>
      <c r="B41" s="16"/>
      <c r="C41" s="16"/>
      <c r="D41" s="16"/>
    </row>
    <row r="42" spans="1:4" x14ac:dyDescent="0.2">
      <c r="A42" s="13" t="s">
        <v>57</v>
      </c>
      <c r="B42" s="1">
        <v>101</v>
      </c>
      <c r="C42" s="1" t="s">
        <v>16</v>
      </c>
    </row>
    <row r="43" spans="1:4" x14ac:dyDescent="0.2">
      <c r="A43" s="13" t="s">
        <v>58</v>
      </c>
      <c r="B43" s="1">
        <v>47</v>
      </c>
      <c r="C43" s="1" t="s">
        <v>16</v>
      </c>
    </row>
    <row r="44" spans="1:4" x14ac:dyDescent="0.2">
      <c r="A44" s="15" t="s">
        <v>59</v>
      </c>
      <c r="B44" s="16"/>
      <c r="C44" s="16"/>
      <c r="D44" s="16"/>
    </row>
    <row r="45" spans="1:4" x14ac:dyDescent="0.2">
      <c r="A45" s="13" t="s">
        <v>60</v>
      </c>
      <c r="B45" s="1">
        <v>230</v>
      </c>
      <c r="C45" s="1" t="s">
        <v>9</v>
      </c>
    </row>
    <row r="46" spans="1:4" x14ac:dyDescent="0.2">
      <c r="A46" s="15" t="s">
        <v>61</v>
      </c>
      <c r="B46" s="16"/>
      <c r="C46" s="16"/>
      <c r="D46" s="16"/>
    </row>
    <row r="47" spans="1:4" x14ac:dyDescent="0.2">
      <c r="A47" s="13" t="s">
        <v>62</v>
      </c>
      <c r="B47" s="1">
        <v>136</v>
      </c>
      <c r="C47" s="1" t="s">
        <v>9</v>
      </c>
      <c r="D47" s="1" t="s">
        <v>63</v>
      </c>
    </row>
    <row r="48" spans="1:4" x14ac:dyDescent="0.2">
      <c r="A48" s="13" t="s">
        <v>64</v>
      </c>
      <c r="B48" s="1">
        <v>62</v>
      </c>
      <c r="C48" s="1" t="s">
        <v>9</v>
      </c>
    </row>
    <row r="49" spans="1:4" x14ac:dyDescent="0.2">
      <c r="A49" s="14" t="s">
        <v>65</v>
      </c>
      <c r="B49" s="1">
        <v>4</v>
      </c>
      <c r="C49" s="1" t="s">
        <v>16</v>
      </c>
    </row>
    <row r="50" spans="1:4" x14ac:dyDescent="0.2">
      <c r="A50" s="13" t="s">
        <v>66</v>
      </c>
      <c r="B50" s="1">
        <v>8</v>
      </c>
      <c r="C50" s="1" t="s">
        <v>16</v>
      </c>
    </row>
    <row r="51" spans="1:4" x14ac:dyDescent="0.2">
      <c r="A51" s="13" t="s">
        <v>67</v>
      </c>
      <c r="B51" s="1">
        <v>8</v>
      </c>
      <c r="C51" s="1" t="s">
        <v>16</v>
      </c>
    </row>
    <row r="52" spans="1:4" x14ac:dyDescent="0.2">
      <c r="A52" s="13" t="s">
        <v>68</v>
      </c>
      <c r="B52" s="1">
        <v>221</v>
      </c>
      <c r="C52" s="1" t="s">
        <v>9</v>
      </c>
      <c r="D52" s="5" t="s">
        <v>69</v>
      </c>
    </row>
    <row r="53" spans="1:4" x14ac:dyDescent="0.2">
      <c r="A53" s="15" t="s">
        <v>70</v>
      </c>
      <c r="B53" s="16"/>
      <c r="C53" s="16"/>
      <c r="D53" s="16"/>
    </row>
    <row r="54" spans="1:4" x14ac:dyDescent="0.2">
      <c r="A54" s="13" t="s">
        <v>71</v>
      </c>
      <c r="B54" s="1">
        <v>534</v>
      </c>
      <c r="C54" s="1" t="s">
        <v>9</v>
      </c>
    </row>
    <row r="55" spans="1:4" x14ac:dyDescent="0.2">
      <c r="A55" s="13" t="s">
        <v>72</v>
      </c>
      <c r="B55" s="1">
        <v>26</v>
      </c>
      <c r="C55" s="1" t="s">
        <v>16</v>
      </c>
    </row>
    <row r="56" spans="1:4" x14ac:dyDescent="0.2">
      <c r="A56" s="13" t="s">
        <v>73</v>
      </c>
      <c r="B56" s="1">
        <v>13</v>
      </c>
      <c r="C56" s="1" t="s">
        <v>16</v>
      </c>
    </row>
    <row r="57" spans="1:4" x14ac:dyDescent="0.2">
      <c r="A57" s="15" t="s">
        <v>74</v>
      </c>
      <c r="B57" s="16"/>
      <c r="C57" s="16"/>
      <c r="D57" s="16"/>
    </row>
    <row r="58" spans="1:4" x14ac:dyDescent="0.2">
      <c r="A58" s="13" t="s">
        <v>75</v>
      </c>
      <c r="B58" s="1">
        <v>27</v>
      </c>
      <c r="C58" s="1" t="s">
        <v>9</v>
      </c>
    </row>
    <row r="59" spans="1:4" x14ac:dyDescent="0.2">
      <c r="A59" s="13" t="s">
        <v>76</v>
      </c>
      <c r="B59" s="1">
        <v>79</v>
      </c>
      <c r="C59" s="1" t="s">
        <v>16</v>
      </c>
    </row>
    <row r="60" spans="1:4" x14ac:dyDescent="0.2">
      <c r="A60" s="15" t="s">
        <v>77</v>
      </c>
      <c r="B60" s="16"/>
      <c r="C60" s="16"/>
      <c r="D60" s="16"/>
    </row>
    <row r="61" spans="1:4" x14ac:dyDescent="0.2">
      <c r="A61" s="13" t="s">
        <v>78</v>
      </c>
      <c r="B61" s="1">
        <v>8</v>
      </c>
      <c r="C61" s="1" t="s">
        <v>16</v>
      </c>
    </row>
    <row r="62" spans="1:4" x14ac:dyDescent="0.2">
      <c r="A62" s="13" t="s">
        <v>79</v>
      </c>
      <c r="B62" s="1">
        <v>59</v>
      </c>
      <c r="C62" s="1" t="s">
        <v>16</v>
      </c>
      <c r="D62" s="1" t="s">
        <v>80</v>
      </c>
    </row>
    <row r="63" spans="1:4" x14ac:dyDescent="0.2">
      <c r="A63" s="13" t="s">
        <v>81</v>
      </c>
      <c r="B63" s="1">
        <v>563</v>
      </c>
      <c r="C63" s="1" t="s">
        <v>9</v>
      </c>
    </row>
    <row r="64" spans="1:4" x14ac:dyDescent="0.2">
      <c r="A64" s="13" t="s">
        <v>82</v>
      </c>
      <c r="B64" s="1">
        <v>1</v>
      </c>
      <c r="C64" s="1" t="s">
        <v>16</v>
      </c>
    </row>
    <row r="65" spans="1:4" x14ac:dyDescent="0.2">
      <c r="A65" s="15" t="s">
        <v>83</v>
      </c>
      <c r="B65" s="16"/>
      <c r="C65" s="16"/>
      <c r="D65" s="16"/>
    </row>
    <row r="66" spans="1:4" x14ac:dyDescent="0.2">
      <c r="A66" s="13" t="s">
        <v>84</v>
      </c>
      <c r="B66" s="1">
        <v>3</v>
      </c>
      <c r="C66" s="1" t="s">
        <v>9</v>
      </c>
    </row>
    <row r="67" spans="1:4" x14ac:dyDescent="0.2">
      <c r="A67" s="15" t="s">
        <v>85</v>
      </c>
      <c r="B67" s="16"/>
      <c r="C67" s="16"/>
      <c r="D67" s="16"/>
    </row>
    <row r="68" spans="1:4" x14ac:dyDescent="0.2">
      <c r="A68" s="13" t="s">
        <v>86</v>
      </c>
      <c r="B68" s="1">
        <v>2</v>
      </c>
      <c r="C68" s="1" t="s">
        <v>16</v>
      </c>
    </row>
    <row r="69" spans="1:4" x14ac:dyDescent="0.2">
      <c r="A69" s="13" t="s">
        <v>87</v>
      </c>
      <c r="B69" s="1">
        <v>2</v>
      </c>
      <c r="C69" s="1" t="s">
        <v>16</v>
      </c>
    </row>
    <row r="70" spans="1:4" x14ac:dyDescent="0.2">
      <c r="A70" s="13" t="s">
        <v>88</v>
      </c>
      <c r="B70" s="1">
        <v>4</v>
      </c>
      <c r="C70" s="1" t="s">
        <v>16</v>
      </c>
    </row>
    <row r="71" spans="1:4" x14ac:dyDescent="0.2">
      <c r="A71" s="13" t="s">
        <v>89</v>
      </c>
      <c r="B71" s="1">
        <v>206</v>
      </c>
      <c r="C71" s="1" t="s">
        <v>9</v>
      </c>
    </row>
    <row r="72" spans="1:4" x14ac:dyDescent="0.2">
      <c r="A72" s="13" t="s">
        <v>90</v>
      </c>
      <c r="B72" s="1">
        <v>35</v>
      </c>
      <c r="C72" s="1" t="s">
        <v>16</v>
      </c>
    </row>
    <row r="73" spans="1:4" x14ac:dyDescent="0.2">
      <c r="A73" s="13" t="s">
        <v>91</v>
      </c>
      <c r="B73" s="1">
        <v>9</v>
      </c>
      <c r="C73" s="1" t="s">
        <v>16</v>
      </c>
    </row>
    <row r="74" spans="1:4" x14ac:dyDescent="0.2">
      <c r="A74" s="13" t="s">
        <v>92</v>
      </c>
      <c r="B74" s="1">
        <v>3</v>
      </c>
      <c r="C74" s="1" t="s">
        <v>16</v>
      </c>
    </row>
    <row r="75" spans="1:4" x14ac:dyDescent="0.2">
      <c r="A75" s="15" t="s">
        <v>93</v>
      </c>
      <c r="B75" s="16"/>
      <c r="C75" s="16"/>
      <c r="D75" s="16"/>
    </row>
    <row r="76" spans="1:4" x14ac:dyDescent="0.2">
      <c r="A76" s="13" t="s">
        <v>94</v>
      </c>
      <c r="B76" s="1">
        <v>47</v>
      </c>
      <c r="C76" s="1" t="s">
        <v>9</v>
      </c>
    </row>
    <row r="77" spans="1:4" x14ac:dyDescent="0.2">
      <c r="A77" s="13" t="s">
        <v>95</v>
      </c>
      <c r="B77" s="1">
        <v>134</v>
      </c>
      <c r="C77" s="1" t="s">
        <v>9</v>
      </c>
      <c r="D77" s="1" t="s">
        <v>96</v>
      </c>
    </row>
    <row r="78" spans="1:4" x14ac:dyDescent="0.2">
      <c r="A78" s="15" t="s">
        <v>97</v>
      </c>
      <c r="B78" s="16"/>
      <c r="C78" s="16"/>
      <c r="D78" s="16"/>
    </row>
    <row r="79" spans="1:4" x14ac:dyDescent="0.2">
      <c r="A79" s="13" t="s">
        <v>98</v>
      </c>
      <c r="B79" s="1">
        <v>68</v>
      </c>
      <c r="C79" s="1" t="s">
        <v>9</v>
      </c>
    </row>
    <row r="80" spans="1:4" x14ac:dyDescent="0.2">
      <c r="A80" s="13" t="s">
        <v>99</v>
      </c>
      <c r="B80" s="1">
        <v>140</v>
      </c>
      <c r="C80" s="1" t="s">
        <v>16</v>
      </c>
    </row>
    <row r="81" spans="1:4" x14ac:dyDescent="0.2">
      <c r="A81" s="13" t="s">
        <v>100</v>
      </c>
      <c r="B81" s="1">
        <v>9</v>
      </c>
      <c r="C81" s="1" t="s">
        <v>16</v>
      </c>
    </row>
    <row r="82" spans="1:4" x14ac:dyDescent="0.2">
      <c r="A82" s="13" t="s">
        <v>101</v>
      </c>
      <c r="B82" s="1">
        <v>31</v>
      </c>
      <c r="C82" s="1" t="s">
        <v>9</v>
      </c>
      <c r="D82" s="1" t="s">
        <v>102</v>
      </c>
    </row>
    <row r="83" spans="1:4" x14ac:dyDescent="0.2">
      <c r="A83" s="13" t="s">
        <v>103</v>
      </c>
      <c r="B83" s="1">
        <v>11</v>
      </c>
      <c r="C83" s="1" t="s">
        <v>16</v>
      </c>
    </row>
    <row r="84" spans="1:4" x14ac:dyDescent="0.2">
      <c r="A84" s="13" t="s">
        <v>104</v>
      </c>
      <c r="B84" s="1">
        <v>20</v>
      </c>
      <c r="C84" s="1" t="s">
        <v>9</v>
      </c>
      <c r="D84" s="1" t="s">
        <v>105</v>
      </c>
    </row>
    <row r="85" spans="1:4" x14ac:dyDescent="0.2">
      <c r="A85" s="13" t="s">
        <v>106</v>
      </c>
      <c r="B85" s="1">
        <v>47</v>
      </c>
      <c r="C85" s="1" t="s">
        <v>9</v>
      </c>
      <c r="D85" s="1" t="s">
        <v>107</v>
      </c>
    </row>
    <row r="86" spans="1:4" x14ac:dyDescent="0.2">
      <c r="A86" s="13" t="s">
        <v>108</v>
      </c>
      <c r="B86" s="1">
        <v>10</v>
      </c>
      <c r="C86" s="1" t="s">
        <v>16</v>
      </c>
    </row>
    <row r="87" spans="1:4" x14ac:dyDescent="0.2">
      <c r="A87" s="15" t="s">
        <v>109</v>
      </c>
      <c r="B87" s="16"/>
      <c r="C87" s="16"/>
      <c r="D87" s="16"/>
    </row>
    <row r="88" spans="1:4" x14ac:dyDescent="0.2">
      <c r="A88" s="13" t="s">
        <v>110</v>
      </c>
      <c r="B88" s="1">
        <v>4</v>
      </c>
      <c r="C88" s="1" t="s">
        <v>16</v>
      </c>
    </row>
    <row r="89" spans="1:4" x14ac:dyDescent="0.2">
      <c r="A89" s="13" t="s">
        <v>111</v>
      </c>
      <c r="B89" s="1">
        <v>4</v>
      </c>
      <c r="C89" s="1" t="s">
        <v>16</v>
      </c>
    </row>
    <row r="90" spans="1:4" x14ac:dyDescent="0.2">
      <c r="A90" s="13" t="s">
        <v>112</v>
      </c>
      <c r="B90" s="1">
        <v>94</v>
      </c>
      <c r="C90" s="1" t="s">
        <v>9</v>
      </c>
    </row>
    <row r="91" spans="1:4" x14ac:dyDescent="0.2">
      <c r="A91" s="13" t="s">
        <v>113</v>
      </c>
      <c r="B91" s="1">
        <v>7</v>
      </c>
      <c r="C91" s="1" t="s">
        <v>16</v>
      </c>
    </row>
    <row r="92" spans="1:4" x14ac:dyDescent="0.2">
      <c r="A92" s="13" t="s">
        <v>114</v>
      </c>
      <c r="B92" s="1">
        <v>21</v>
      </c>
      <c r="C92" s="1" t="s">
        <v>16</v>
      </c>
    </row>
    <row r="93" spans="1:4" x14ac:dyDescent="0.2">
      <c r="A93" s="13" t="s">
        <v>115</v>
      </c>
      <c r="B93" s="1">
        <v>7</v>
      </c>
      <c r="C93" s="1" t="s">
        <v>9</v>
      </c>
      <c r="D93" s="1" t="s">
        <v>116</v>
      </c>
    </row>
    <row r="94" spans="1:4" x14ac:dyDescent="0.2">
      <c r="A94" s="13" t="s">
        <v>117</v>
      </c>
      <c r="B94" s="1">
        <v>12</v>
      </c>
      <c r="C94" s="1" t="s">
        <v>16</v>
      </c>
    </row>
    <row r="95" spans="1:4" x14ac:dyDescent="0.2">
      <c r="A95" s="13" t="s">
        <v>118</v>
      </c>
      <c r="B95" s="1">
        <v>4</v>
      </c>
      <c r="C95" s="1" t="s">
        <v>16</v>
      </c>
    </row>
    <row r="96" spans="1:4" x14ac:dyDescent="0.2">
      <c r="A96" s="13" t="s">
        <v>119</v>
      </c>
      <c r="B96" s="1">
        <v>11</v>
      </c>
      <c r="C96" s="1" t="s">
        <v>16</v>
      </c>
    </row>
    <row r="97" spans="1:3" x14ac:dyDescent="0.2">
      <c r="A97" s="13" t="s">
        <v>120</v>
      </c>
      <c r="B97" s="1">
        <v>106</v>
      </c>
      <c r="C97" s="1" t="s">
        <v>9</v>
      </c>
    </row>
    <row r="98" spans="1:3" x14ac:dyDescent="0.2">
      <c r="A98" s="13" t="s">
        <v>121</v>
      </c>
      <c r="B98" s="1">
        <v>20</v>
      </c>
      <c r="C98" s="1" t="s">
        <v>16</v>
      </c>
    </row>
    <row r="99" spans="1:3" x14ac:dyDescent="0.2">
      <c r="A99" s="13" t="s">
        <v>122</v>
      </c>
      <c r="B99" s="1">
        <v>11</v>
      </c>
      <c r="C99" s="1" t="s">
        <v>16</v>
      </c>
    </row>
    <row r="100" spans="1:3" x14ac:dyDescent="0.2">
      <c r="A100" s="13" t="s">
        <v>123</v>
      </c>
      <c r="B100" s="1">
        <v>18</v>
      </c>
      <c r="C100" s="1" t="s">
        <v>16</v>
      </c>
    </row>
    <row r="101" spans="1:3" x14ac:dyDescent="0.2">
      <c r="A101" s="13" t="s">
        <v>124</v>
      </c>
      <c r="B101" s="1">
        <v>20</v>
      </c>
      <c r="C101" s="1" t="s">
        <v>9</v>
      </c>
    </row>
    <row r="102" spans="1:3" x14ac:dyDescent="0.2">
      <c r="A102" s="13" t="s">
        <v>125</v>
      </c>
      <c r="B102" s="1">
        <v>6</v>
      </c>
      <c r="C102" s="1" t="s">
        <v>16</v>
      </c>
    </row>
    <row r="103" spans="1:3" x14ac:dyDescent="0.2">
      <c r="A103" s="13" t="s">
        <v>126</v>
      </c>
      <c r="B103" s="1">
        <v>19</v>
      </c>
      <c r="C103" s="1" t="s">
        <v>16</v>
      </c>
    </row>
    <row r="104" spans="1:3" x14ac:dyDescent="0.2">
      <c r="A104" s="13" t="s">
        <v>127</v>
      </c>
      <c r="B104" s="1">
        <v>32</v>
      </c>
      <c r="C104" s="1" t="s">
        <v>16</v>
      </c>
    </row>
    <row r="105" spans="1:3" x14ac:dyDescent="0.2">
      <c r="A105" s="13" t="s">
        <v>128</v>
      </c>
      <c r="B105" s="1">
        <v>9</v>
      </c>
      <c r="C105" s="1" t="s">
        <v>16</v>
      </c>
    </row>
    <row r="106" spans="1:3" x14ac:dyDescent="0.2">
      <c r="A106" s="13" t="s">
        <v>129</v>
      </c>
      <c r="B106" s="1">
        <v>15</v>
      </c>
      <c r="C106" s="1" t="s">
        <v>16</v>
      </c>
    </row>
    <row r="107" spans="1:3" x14ac:dyDescent="0.2">
      <c r="A107" s="13" t="s">
        <v>130</v>
      </c>
      <c r="B107" s="1">
        <v>14</v>
      </c>
      <c r="C107" s="1" t="s">
        <v>16</v>
      </c>
    </row>
    <row r="108" spans="1:3" x14ac:dyDescent="0.2">
      <c r="A108" s="13" t="s">
        <v>131</v>
      </c>
      <c r="B108" s="1">
        <v>16</v>
      </c>
      <c r="C108" s="1" t="s">
        <v>16</v>
      </c>
    </row>
    <row r="109" spans="1:3" x14ac:dyDescent="0.2">
      <c r="A109" s="13" t="s">
        <v>132</v>
      </c>
      <c r="B109" s="1">
        <v>18</v>
      </c>
      <c r="C109" s="1" t="s">
        <v>16</v>
      </c>
    </row>
    <row r="110" spans="1:3" x14ac:dyDescent="0.2">
      <c r="A110" s="13" t="s">
        <v>133</v>
      </c>
      <c r="B110" s="1">
        <v>16</v>
      </c>
      <c r="C110" s="1" t="s">
        <v>16</v>
      </c>
    </row>
    <row r="111" spans="1:3" x14ac:dyDescent="0.2">
      <c r="A111" s="13" t="s">
        <v>134</v>
      </c>
      <c r="B111" s="1">
        <v>22</v>
      </c>
      <c r="C111" s="1" t="s">
        <v>16</v>
      </c>
    </row>
    <row r="112" spans="1:3" x14ac:dyDescent="0.2">
      <c r="A112" s="13" t="s">
        <v>135</v>
      </c>
      <c r="B112" s="1">
        <v>19</v>
      </c>
      <c r="C112" s="1" t="s">
        <v>16</v>
      </c>
    </row>
    <row r="113" spans="1:3" x14ac:dyDescent="0.2">
      <c r="A113" s="13" t="s">
        <v>136</v>
      </c>
      <c r="B113" s="1">
        <v>13</v>
      </c>
      <c r="C113" s="1" t="s">
        <v>16</v>
      </c>
    </row>
    <row r="114" spans="1:3" x14ac:dyDescent="0.2">
      <c r="A114" s="13" t="s">
        <v>137</v>
      </c>
      <c r="B114" s="1">
        <v>15</v>
      </c>
      <c r="C114" s="1" t="s">
        <v>16</v>
      </c>
    </row>
    <row r="115" spans="1:3" x14ac:dyDescent="0.2">
      <c r="A115" s="13" t="s">
        <v>138</v>
      </c>
      <c r="B115" s="1">
        <v>15</v>
      </c>
      <c r="C115" s="1" t="s">
        <v>16</v>
      </c>
    </row>
    <row r="116" spans="1:3" x14ac:dyDescent="0.2">
      <c r="A116" s="13" t="s">
        <v>139</v>
      </c>
      <c r="B116" s="1">
        <v>30</v>
      </c>
      <c r="C116" s="1" t="s">
        <v>16</v>
      </c>
    </row>
    <row r="117" spans="1:3" x14ac:dyDescent="0.2">
      <c r="A117" s="13" t="s">
        <v>140</v>
      </c>
      <c r="B117" s="1">
        <v>18</v>
      </c>
      <c r="C117" s="1" t="s">
        <v>16</v>
      </c>
    </row>
    <row r="118" spans="1:3" x14ac:dyDescent="0.2">
      <c r="A118" s="13" t="s">
        <v>141</v>
      </c>
      <c r="B118" s="1">
        <v>2</v>
      </c>
      <c r="C118" s="1" t="s">
        <v>16</v>
      </c>
    </row>
    <row r="119" spans="1:3" x14ac:dyDescent="0.2">
      <c r="A119" s="13" t="s">
        <v>142</v>
      </c>
      <c r="B119" s="1">
        <v>2</v>
      </c>
      <c r="C119" s="1" t="s">
        <v>16</v>
      </c>
    </row>
    <row r="120" spans="1:3" x14ac:dyDescent="0.2">
      <c r="A120" s="13" t="s">
        <v>143</v>
      </c>
      <c r="B120" s="1">
        <v>1</v>
      </c>
      <c r="C120" s="1" t="s">
        <v>16</v>
      </c>
    </row>
    <row r="121" spans="1:3" x14ac:dyDescent="0.2">
      <c r="A121" s="13" t="s">
        <v>144</v>
      </c>
      <c r="B121" s="1">
        <v>2</v>
      </c>
      <c r="C121" s="1" t="s">
        <v>16</v>
      </c>
    </row>
    <row r="122" spans="1:3" x14ac:dyDescent="0.2">
      <c r="A122" s="13" t="s">
        <v>145</v>
      </c>
      <c r="B122" s="1">
        <v>8</v>
      </c>
      <c r="C122" s="1" t="s">
        <v>16</v>
      </c>
    </row>
    <row r="123" spans="1:3" x14ac:dyDescent="0.2">
      <c r="A123" s="13" t="s">
        <v>146</v>
      </c>
      <c r="B123" s="1">
        <v>5</v>
      </c>
      <c r="C123" s="1" t="s">
        <v>16</v>
      </c>
    </row>
    <row r="124" spans="1:3" x14ac:dyDescent="0.2">
      <c r="A124" s="13" t="s">
        <v>147</v>
      </c>
      <c r="B124" s="1">
        <v>67</v>
      </c>
      <c r="C124" s="1" t="s">
        <v>16</v>
      </c>
    </row>
    <row r="125" spans="1:3" x14ac:dyDescent="0.2">
      <c r="A125" s="13" t="s">
        <v>148</v>
      </c>
      <c r="B125" s="1">
        <v>167</v>
      </c>
      <c r="C125" s="1" t="s">
        <v>16</v>
      </c>
    </row>
    <row r="126" spans="1:3" x14ac:dyDescent="0.2">
      <c r="A126" s="13" t="s">
        <v>149</v>
      </c>
      <c r="B126" s="1">
        <v>7</v>
      </c>
      <c r="C126" s="1" t="s">
        <v>16</v>
      </c>
    </row>
    <row r="127" spans="1:3" x14ac:dyDescent="0.2">
      <c r="A127" s="13" t="s">
        <v>150</v>
      </c>
      <c r="B127" s="1">
        <v>26</v>
      </c>
      <c r="C127" s="1" t="s">
        <v>16</v>
      </c>
    </row>
    <row r="128" spans="1:3" x14ac:dyDescent="0.2">
      <c r="A128" s="13" t="s">
        <v>151</v>
      </c>
      <c r="B128" s="1">
        <v>13</v>
      </c>
      <c r="C128" s="1" t="s">
        <v>16</v>
      </c>
    </row>
    <row r="129" spans="1:4" x14ac:dyDescent="0.2">
      <c r="A129" s="13" t="s">
        <v>152</v>
      </c>
      <c r="B129" s="1">
        <v>15</v>
      </c>
      <c r="C129" s="1" t="s">
        <v>16</v>
      </c>
    </row>
    <row r="130" spans="1:4" x14ac:dyDescent="0.2">
      <c r="A130" s="13" t="s">
        <v>153</v>
      </c>
      <c r="B130" s="1">
        <v>35</v>
      </c>
      <c r="C130" s="1" t="s">
        <v>16</v>
      </c>
    </row>
    <row r="131" spans="1:4" x14ac:dyDescent="0.2">
      <c r="A131" s="13" t="s">
        <v>154</v>
      </c>
      <c r="B131" s="1">
        <v>11</v>
      </c>
      <c r="C131" s="1" t="s">
        <v>16</v>
      </c>
    </row>
    <row r="132" spans="1:4" x14ac:dyDescent="0.2">
      <c r="A132" s="13" t="s">
        <v>155</v>
      </c>
      <c r="B132" s="1">
        <v>15</v>
      </c>
      <c r="C132" s="1" t="s">
        <v>16</v>
      </c>
    </row>
    <row r="133" spans="1:4" x14ac:dyDescent="0.2">
      <c r="A133" s="13" t="s">
        <v>156</v>
      </c>
      <c r="B133" s="1">
        <v>15</v>
      </c>
      <c r="C133" s="1" t="s">
        <v>16</v>
      </c>
    </row>
    <row r="134" spans="1:4" x14ac:dyDescent="0.2">
      <c r="A134" s="13" t="s">
        <v>157</v>
      </c>
      <c r="B134" s="1">
        <v>74</v>
      </c>
      <c r="C134" s="1" t="s">
        <v>16</v>
      </c>
    </row>
    <row r="135" spans="1:4" x14ac:dyDescent="0.2">
      <c r="A135" s="15" t="s">
        <v>158</v>
      </c>
      <c r="B135" s="16"/>
      <c r="C135" s="16"/>
      <c r="D135" s="16"/>
    </row>
    <row r="136" spans="1:4" x14ac:dyDescent="0.2">
      <c r="A136" s="13" t="s">
        <v>159</v>
      </c>
      <c r="B136" s="1">
        <v>278</v>
      </c>
      <c r="C136" s="1" t="s">
        <v>16</v>
      </c>
    </row>
    <row r="137" spans="1:4" x14ac:dyDescent="0.2">
      <c r="A137" s="13" t="s">
        <v>160</v>
      </c>
      <c r="B137" s="1">
        <v>194</v>
      </c>
      <c r="C137" s="1" t="s">
        <v>16</v>
      </c>
    </row>
    <row r="138" spans="1:4" x14ac:dyDescent="0.2">
      <c r="A138" s="15" t="s">
        <v>161</v>
      </c>
      <c r="B138" s="16"/>
      <c r="C138" s="16"/>
      <c r="D138" s="16"/>
    </row>
    <row r="139" spans="1:4" x14ac:dyDescent="0.2">
      <c r="A139" s="13" t="s">
        <v>162</v>
      </c>
      <c r="B139" s="1">
        <v>29</v>
      </c>
      <c r="C139" s="1" t="s">
        <v>16</v>
      </c>
      <c r="D139" s="1" t="s">
        <v>163</v>
      </c>
    </row>
    <row r="140" spans="1:4" x14ac:dyDescent="0.2">
      <c r="A140" s="15" t="s">
        <v>164</v>
      </c>
      <c r="B140" s="16"/>
      <c r="C140" s="16"/>
      <c r="D140" s="16"/>
    </row>
    <row r="141" spans="1:4" x14ac:dyDescent="0.2">
      <c r="A141" s="13" t="s">
        <v>165</v>
      </c>
      <c r="B141" s="1">
        <v>74</v>
      </c>
      <c r="C141" s="1" t="s">
        <v>16</v>
      </c>
    </row>
    <row r="142" spans="1:4" x14ac:dyDescent="0.2">
      <c r="A142" s="15" t="s">
        <v>166</v>
      </c>
      <c r="B142" s="16"/>
      <c r="C142" s="16"/>
      <c r="D142" s="16"/>
    </row>
    <row r="143" spans="1:4" x14ac:dyDescent="0.2">
      <c r="A143" s="13" t="s">
        <v>167</v>
      </c>
      <c r="B143" s="1">
        <v>3</v>
      </c>
      <c r="C143" s="1" t="s">
        <v>9</v>
      </c>
    </row>
    <row r="144" spans="1:4" x14ac:dyDescent="0.2">
      <c r="A144" s="13" t="s">
        <v>168</v>
      </c>
      <c r="B144" s="1">
        <v>75</v>
      </c>
      <c r="C144" s="1" t="s">
        <v>9</v>
      </c>
      <c r="D144" s="1" t="s">
        <v>169</v>
      </c>
    </row>
    <row r="145" spans="1:4" x14ac:dyDescent="0.2">
      <c r="A145" s="13" t="s">
        <v>170</v>
      </c>
      <c r="B145" s="1">
        <v>23</v>
      </c>
      <c r="C145" s="1" t="s">
        <v>9</v>
      </c>
      <c r="D145" s="1" t="s">
        <v>171</v>
      </c>
    </row>
    <row r="146" spans="1:4" x14ac:dyDescent="0.2">
      <c r="A146" s="13" t="s">
        <v>172</v>
      </c>
      <c r="B146" s="1">
        <v>32</v>
      </c>
      <c r="C146" s="1" t="s">
        <v>16</v>
      </c>
    </row>
    <row r="147" spans="1:4" x14ac:dyDescent="0.2">
      <c r="A147" s="13" t="s">
        <v>173</v>
      </c>
      <c r="B147" s="1">
        <v>105</v>
      </c>
      <c r="C147" s="1" t="s">
        <v>9</v>
      </c>
      <c r="D147" s="1" t="s">
        <v>174</v>
      </c>
    </row>
    <row r="148" spans="1:4" x14ac:dyDescent="0.2">
      <c r="A148" s="13" t="s">
        <v>175</v>
      </c>
      <c r="B148" s="1">
        <v>13</v>
      </c>
      <c r="C148" s="1" t="s">
        <v>9</v>
      </c>
      <c r="D148" s="1" t="s">
        <v>176</v>
      </c>
    </row>
    <row r="149" spans="1:4" x14ac:dyDescent="0.2">
      <c r="A149" s="13" t="s">
        <v>177</v>
      </c>
      <c r="B149" s="1">
        <v>6</v>
      </c>
      <c r="C149" s="1" t="s">
        <v>16</v>
      </c>
    </row>
    <row r="150" spans="1:4" x14ac:dyDescent="0.2">
      <c r="A150" s="13" t="s">
        <v>178</v>
      </c>
      <c r="B150" s="1">
        <v>33</v>
      </c>
      <c r="C150" s="1" t="s">
        <v>16</v>
      </c>
    </row>
    <row r="151" spans="1:4" x14ac:dyDescent="0.2">
      <c r="A151" s="13" t="s">
        <v>179</v>
      </c>
      <c r="B151" s="1">
        <v>101</v>
      </c>
      <c r="C151" s="1" t="s">
        <v>9</v>
      </c>
      <c r="D151" s="1" t="s">
        <v>180</v>
      </c>
    </row>
    <row r="152" spans="1:4" x14ac:dyDescent="0.2">
      <c r="A152" s="13" t="s">
        <v>181</v>
      </c>
      <c r="B152" s="1">
        <v>82</v>
      </c>
      <c r="C152" s="1" t="s">
        <v>9</v>
      </c>
      <c r="D152" s="1" t="s">
        <v>182</v>
      </c>
    </row>
    <row r="153" spans="1:4" x14ac:dyDescent="0.2">
      <c r="A153" s="13" t="s">
        <v>183</v>
      </c>
      <c r="B153" s="1">
        <v>58</v>
      </c>
      <c r="C153" s="1" t="s">
        <v>16</v>
      </c>
    </row>
    <row r="154" spans="1:4" x14ac:dyDescent="0.2">
      <c r="A154" s="15" t="s">
        <v>184</v>
      </c>
      <c r="B154" s="16"/>
      <c r="C154" s="16"/>
      <c r="D154" s="16"/>
    </row>
    <row r="155" spans="1:4" x14ac:dyDescent="0.2">
      <c r="A155" s="13" t="s">
        <v>185</v>
      </c>
      <c r="B155" s="1">
        <v>676</v>
      </c>
      <c r="C155" s="1" t="s">
        <v>9</v>
      </c>
    </row>
    <row r="156" spans="1:4" x14ac:dyDescent="0.2"/>
    <row r="157" spans="1:4" x14ac:dyDescent="0.2">
      <c r="B157" s="2">
        <f>SUM(B3:B155)</f>
        <v>7572</v>
      </c>
    </row>
  </sheetData>
  <mergeCells count="23">
    <mergeCell ref="A154:D154"/>
    <mergeCell ref="A57:D57"/>
    <mergeCell ref="A33:D33"/>
    <mergeCell ref="A2:D2"/>
    <mergeCell ref="A9:D9"/>
    <mergeCell ref="A67:D67"/>
    <mergeCell ref="A142:D142"/>
    <mergeCell ref="A60:D60"/>
    <mergeCell ref="A138:D138"/>
    <mergeCell ref="A78:D78"/>
    <mergeCell ref="A87:D87"/>
    <mergeCell ref="A65:D65"/>
    <mergeCell ref="A25:D25"/>
    <mergeCell ref="A41:D41"/>
    <mergeCell ref="A46:D46"/>
    <mergeCell ref="A75:D75"/>
    <mergeCell ref="A18:D18"/>
    <mergeCell ref="A135:D135"/>
    <mergeCell ref="A22:D22"/>
    <mergeCell ref="A53:D53"/>
    <mergeCell ref="A20:D20"/>
    <mergeCell ref="A140:D140"/>
    <mergeCell ref="A44:D44"/>
  </mergeCells>
  <dataValidations count="1">
    <dataValidation type="list" allowBlank="1" showErrorMessage="1" sqref="C3:C8 C10:C17 C19 C21 C23:C24 C26:C32 C34:C40 C42:C43 C45 C47:C52 C54:C56 C58:C59 C61:C64 C66 C68:C74 C76:C77 C79:C86 C88:C134 C136:C137 C139 C141 C143:C153 C155" xr:uid="{00000000-0002-0000-0000-000000000000}">
      <formula1>"Incomplete,No-Reference,Athlete Data Mentioned"</formula1>
    </dataValidation>
  </dataValidations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10" r:id="rId7" xr:uid="{00000000-0004-0000-0000-000006000000}"/>
    <hyperlink ref="A11" r:id="rId8" xr:uid="{00000000-0004-0000-0000-000007000000}"/>
    <hyperlink ref="A12" r:id="rId9" xr:uid="{00000000-0004-0000-0000-000008000000}"/>
    <hyperlink ref="A13" r:id="rId10" xr:uid="{00000000-0004-0000-0000-000009000000}"/>
    <hyperlink ref="A14" r:id="rId11" xr:uid="{00000000-0004-0000-0000-00000A000000}"/>
    <hyperlink ref="A15" r:id="rId12" xr:uid="{00000000-0004-0000-0000-00000B000000}"/>
    <hyperlink ref="A16" r:id="rId13" xr:uid="{00000000-0004-0000-0000-00000C000000}"/>
    <hyperlink ref="A17" r:id="rId14" xr:uid="{00000000-0004-0000-0000-00000D000000}"/>
    <hyperlink ref="A19" r:id="rId15" xr:uid="{00000000-0004-0000-0000-00000E000000}"/>
    <hyperlink ref="A21" r:id="rId16" xr:uid="{00000000-0004-0000-0000-00000F000000}"/>
    <hyperlink ref="A23" r:id="rId17" xr:uid="{00000000-0004-0000-0000-000010000000}"/>
    <hyperlink ref="A24" r:id="rId18" xr:uid="{00000000-0004-0000-0000-000011000000}"/>
    <hyperlink ref="A26" r:id="rId19" xr:uid="{00000000-0004-0000-0000-000012000000}"/>
    <hyperlink ref="A27" r:id="rId20" xr:uid="{00000000-0004-0000-0000-000013000000}"/>
    <hyperlink ref="A28" r:id="rId21" xr:uid="{00000000-0004-0000-0000-000014000000}"/>
    <hyperlink ref="A29" r:id="rId22" xr:uid="{00000000-0004-0000-0000-000015000000}"/>
    <hyperlink ref="A30" r:id="rId23" xr:uid="{00000000-0004-0000-0000-000016000000}"/>
    <hyperlink ref="A31" r:id="rId24" xr:uid="{00000000-0004-0000-0000-000017000000}"/>
    <hyperlink ref="A32" r:id="rId25" xr:uid="{00000000-0004-0000-0000-000018000000}"/>
    <hyperlink ref="A34" r:id="rId26" xr:uid="{00000000-0004-0000-0000-000019000000}"/>
    <hyperlink ref="A35" r:id="rId27" xr:uid="{00000000-0004-0000-0000-00001A000000}"/>
    <hyperlink ref="A36" r:id="rId28" xr:uid="{00000000-0004-0000-0000-00001B000000}"/>
    <hyperlink ref="A37" r:id="rId29" xr:uid="{00000000-0004-0000-0000-00001C000000}"/>
    <hyperlink ref="A38" r:id="rId30" xr:uid="{00000000-0004-0000-0000-00001D000000}"/>
    <hyperlink ref="A39" r:id="rId31" xr:uid="{00000000-0004-0000-0000-00001E000000}"/>
    <hyperlink ref="A40" r:id="rId32" xr:uid="{00000000-0004-0000-0000-00001F000000}"/>
    <hyperlink ref="A42" r:id="rId33" xr:uid="{00000000-0004-0000-0000-000020000000}"/>
    <hyperlink ref="A43" r:id="rId34" xr:uid="{00000000-0004-0000-0000-000021000000}"/>
    <hyperlink ref="A45" r:id="rId35" xr:uid="{00000000-0004-0000-0000-000022000000}"/>
    <hyperlink ref="A47" r:id="rId36" xr:uid="{00000000-0004-0000-0000-000023000000}"/>
    <hyperlink ref="A48" r:id="rId37" xr:uid="{00000000-0004-0000-0000-000024000000}"/>
    <hyperlink ref="A49" r:id="rId38" xr:uid="{00000000-0004-0000-0000-000025000000}"/>
    <hyperlink ref="A50" r:id="rId39" xr:uid="{00000000-0004-0000-0000-000026000000}"/>
    <hyperlink ref="A51" r:id="rId40" xr:uid="{00000000-0004-0000-0000-000027000000}"/>
    <hyperlink ref="A52" r:id="rId41" xr:uid="{00000000-0004-0000-0000-000028000000}"/>
    <hyperlink ref="A54" r:id="rId42" xr:uid="{00000000-0004-0000-0000-000029000000}"/>
    <hyperlink ref="A55" r:id="rId43" xr:uid="{00000000-0004-0000-0000-00002A000000}"/>
    <hyperlink ref="A56" r:id="rId44" xr:uid="{00000000-0004-0000-0000-00002B000000}"/>
    <hyperlink ref="A58" r:id="rId45" xr:uid="{00000000-0004-0000-0000-00002C000000}"/>
    <hyperlink ref="A59" r:id="rId46" xr:uid="{00000000-0004-0000-0000-00002D000000}"/>
    <hyperlink ref="A61" r:id="rId47" xr:uid="{00000000-0004-0000-0000-00002E000000}"/>
    <hyperlink ref="A62" r:id="rId48" xr:uid="{00000000-0004-0000-0000-00002F000000}"/>
    <hyperlink ref="A63" r:id="rId49" xr:uid="{00000000-0004-0000-0000-000030000000}"/>
    <hyperlink ref="A64" r:id="rId50" xr:uid="{00000000-0004-0000-0000-000031000000}"/>
    <hyperlink ref="A66" r:id="rId51" xr:uid="{00000000-0004-0000-0000-000032000000}"/>
    <hyperlink ref="A68" r:id="rId52" xr:uid="{00000000-0004-0000-0000-000033000000}"/>
    <hyperlink ref="A69" r:id="rId53" xr:uid="{00000000-0004-0000-0000-000034000000}"/>
    <hyperlink ref="A70" r:id="rId54" xr:uid="{00000000-0004-0000-0000-000035000000}"/>
    <hyperlink ref="A71" r:id="rId55" xr:uid="{00000000-0004-0000-0000-000036000000}"/>
    <hyperlink ref="A72" r:id="rId56" xr:uid="{00000000-0004-0000-0000-000037000000}"/>
    <hyperlink ref="A73" r:id="rId57" xr:uid="{00000000-0004-0000-0000-000038000000}"/>
    <hyperlink ref="A74" r:id="rId58" xr:uid="{00000000-0004-0000-0000-000039000000}"/>
    <hyperlink ref="A76" r:id="rId59" xr:uid="{00000000-0004-0000-0000-00003A000000}"/>
    <hyperlink ref="A77" r:id="rId60" xr:uid="{00000000-0004-0000-0000-00003B000000}"/>
    <hyperlink ref="A79" r:id="rId61" xr:uid="{00000000-0004-0000-0000-00003C000000}"/>
    <hyperlink ref="A80" r:id="rId62" xr:uid="{00000000-0004-0000-0000-00003D000000}"/>
    <hyperlink ref="A81" r:id="rId63" xr:uid="{00000000-0004-0000-0000-00003E000000}"/>
    <hyperlink ref="A82" r:id="rId64" xr:uid="{00000000-0004-0000-0000-00003F000000}"/>
    <hyperlink ref="A83" r:id="rId65" xr:uid="{00000000-0004-0000-0000-000040000000}"/>
    <hyperlink ref="A84" r:id="rId66" xr:uid="{00000000-0004-0000-0000-000041000000}"/>
    <hyperlink ref="A85" r:id="rId67" xr:uid="{00000000-0004-0000-0000-000042000000}"/>
    <hyperlink ref="A86" r:id="rId68" xr:uid="{00000000-0004-0000-0000-000043000000}"/>
    <hyperlink ref="A88" r:id="rId69" xr:uid="{00000000-0004-0000-0000-000044000000}"/>
    <hyperlink ref="A89" r:id="rId70" xr:uid="{00000000-0004-0000-0000-000045000000}"/>
    <hyperlink ref="A90" r:id="rId71" xr:uid="{00000000-0004-0000-0000-000046000000}"/>
    <hyperlink ref="A91" r:id="rId72" xr:uid="{00000000-0004-0000-0000-000047000000}"/>
    <hyperlink ref="A92" r:id="rId73" xr:uid="{00000000-0004-0000-0000-000048000000}"/>
    <hyperlink ref="A93" r:id="rId74" xr:uid="{00000000-0004-0000-0000-000049000000}"/>
    <hyperlink ref="A94" r:id="rId75" xr:uid="{00000000-0004-0000-0000-00004A000000}"/>
    <hyperlink ref="A95" r:id="rId76" xr:uid="{00000000-0004-0000-0000-00004B000000}"/>
    <hyperlink ref="A96" r:id="rId77" xr:uid="{00000000-0004-0000-0000-00004C000000}"/>
    <hyperlink ref="A97" r:id="rId78" xr:uid="{00000000-0004-0000-0000-00004D000000}"/>
    <hyperlink ref="A98" r:id="rId79" xr:uid="{00000000-0004-0000-0000-00004E000000}"/>
    <hyperlink ref="A99" r:id="rId80" xr:uid="{00000000-0004-0000-0000-00004F000000}"/>
    <hyperlink ref="A100" r:id="rId81" xr:uid="{00000000-0004-0000-0000-000050000000}"/>
    <hyperlink ref="A101" r:id="rId82" xr:uid="{00000000-0004-0000-0000-000051000000}"/>
    <hyperlink ref="A102" r:id="rId83" xr:uid="{00000000-0004-0000-0000-000052000000}"/>
    <hyperlink ref="A103" r:id="rId84" xr:uid="{00000000-0004-0000-0000-000053000000}"/>
    <hyperlink ref="A104" r:id="rId85" xr:uid="{00000000-0004-0000-0000-000054000000}"/>
    <hyperlink ref="A105" r:id="rId86" xr:uid="{00000000-0004-0000-0000-000055000000}"/>
    <hyperlink ref="A106" r:id="rId87" xr:uid="{00000000-0004-0000-0000-000056000000}"/>
    <hyperlink ref="A107" r:id="rId88" xr:uid="{00000000-0004-0000-0000-000057000000}"/>
    <hyperlink ref="A108" r:id="rId89" xr:uid="{00000000-0004-0000-0000-000058000000}"/>
    <hyperlink ref="A109" r:id="rId90" xr:uid="{00000000-0004-0000-0000-000059000000}"/>
    <hyperlink ref="A110" r:id="rId91" xr:uid="{00000000-0004-0000-0000-00005A000000}"/>
    <hyperlink ref="A111" r:id="rId92" xr:uid="{00000000-0004-0000-0000-00005B000000}"/>
    <hyperlink ref="A112" r:id="rId93" xr:uid="{00000000-0004-0000-0000-00005C000000}"/>
    <hyperlink ref="A113" r:id="rId94" xr:uid="{00000000-0004-0000-0000-00005D000000}"/>
    <hyperlink ref="A114" r:id="rId95" xr:uid="{00000000-0004-0000-0000-00005E000000}"/>
    <hyperlink ref="A115" r:id="rId96" xr:uid="{00000000-0004-0000-0000-00005F000000}"/>
    <hyperlink ref="A116" r:id="rId97" xr:uid="{00000000-0004-0000-0000-000060000000}"/>
    <hyperlink ref="A117" r:id="rId98" xr:uid="{00000000-0004-0000-0000-000061000000}"/>
    <hyperlink ref="A118" r:id="rId99" xr:uid="{00000000-0004-0000-0000-000062000000}"/>
    <hyperlink ref="A119" r:id="rId100" xr:uid="{00000000-0004-0000-0000-000063000000}"/>
    <hyperlink ref="A120" r:id="rId101" xr:uid="{00000000-0004-0000-0000-000064000000}"/>
    <hyperlink ref="A121" r:id="rId102" xr:uid="{00000000-0004-0000-0000-000065000000}"/>
    <hyperlink ref="A122" r:id="rId103" xr:uid="{00000000-0004-0000-0000-000066000000}"/>
    <hyperlink ref="A123" r:id="rId104" xr:uid="{00000000-0004-0000-0000-000067000000}"/>
    <hyperlink ref="A124" r:id="rId105" xr:uid="{00000000-0004-0000-0000-000068000000}"/>
    <hyperlink ref="A125" r:id="rId106" xr:uid="{00000000-0004-0000-0000-000069000000}"/>
    <hyperlink ref="A126" r:id="rId107" xr:uid="{00000000-0004-0000-0000-00006A000000}"/>
    <hyperlink ref="A127" r:id="rId108" xr:uid="{00000000-0004-0000-0000-00006B000000}"/>
    <hyperlink ref="A128" r:id="rId109" xr:uid="{00000000-0004-0000-0000-00006C000000}"/>
    <hyperlink ref="A129" r:id="rId110" xr:uid="{00000000-0004-0000-0000-00006D000000}"/>
    <hyperlink ref="A130" r:id="rId111" xr:uid="{00000000-0004-0000-0000-00006E000000}"/>
    <hyperlink ref="A131" r:id="rId112" xr:uid="{00000000-0004-0000-0000-00006F000000}"/>
    <hyperlink ref="A132" r:id="rId113" xr:uid="{00000000-0004-0000-0000-000070000000}"/>
    <hyperlink ref="A133" r:id="rId114" xr:uid="{00000000-0004-0000-0000-000071000000}"/>
    <hyperlink ref="A134" r:id="rId115" xr:uid="{00000000-0004-0000-0000-000072000000}"/>
    <hyperlink ref="A136" r:id="rId116" xr:uid="{00000000-0004-0000-0000-000073000000}"/>
    <hyperlink ref="A137" r:id="rId117" xr:uid="{00000000-0004-0000-0000-000074000000}"/>
    <hyperlink ref="A139" r:id="rId118" xr:uid="{00000000-0004-0000-0000-000075000000}"/>
    <hyperlink ref="A141" r:id="rId119" xr:uid="{00000000-0004-0000-0000-000076000000}"/>
    <hyperlink ref="A143" r:id="rId120" xr:uid="{00000000-0004-0000-0000-000077000000}"/>
    <hyperlink ref="A144" r:id="rId121" xr:uid="{00000000-0004-0000-0000-000078000000}"/>
    <hyperlink ref="A145" r:id="rId122" xr:uid="{00000000-0004-0000-0000-000079000000}"/>
    <hyperlink ref="A146" r:id="rId123" xr:uid="{00000000-0004-0000-0000-00007A000000}"/>
    <hyperlink ref="A147" r:id="rId124" xr:uid="{00000000-0004-0000-0000-00007B000000}"/>
    <hyperlink ref="A148" r:id="rId125" xr:uid="{00000000-0004-0000-0000-00007C000000}"/>
    <hyperlink ref="A149" r:id="rId126" xr:uid="{00000000-0004-0000-0000-00007D000000}"/>
    <hyperlink ref="A150" r:id="rId127" xr:uid="{00000000-0004-0000-0000-00007E000000}"/>
    <hyperlink ref="A151" r:id="rId128" xr:uid="{00000000-0004-0000-0000-00007F000000}"/>
    <hyperlink ref="A152" r:id="rId129" xr:uid="{00000000-0004-0000-0000-000080000000}"/>
    <hyperlink ref="A153" r:id="rId130" xr:uid="{00000000-0004-0000-0000-000081000000}"/>
    <hyperlink ref="A155" r:id="rId131" xr:uid="{00000000-0004-0000-0000-00008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9" ht="15.75" customHeight="1" x14ac:dyDescent="0.2">
      <c r="A1" s="2" t="s">
        <v>186</v>
      </c>
    </row>
    <row r="2" spans="1:9" ht="15.75" customHeight="1" x14ac:dyDescent="0.2">
      <c r="A2" s="17" t="s">
        <v>187</v>
      </c>
      <c r="B2" s="2" t="s">
        <v>188</v>
      </c>
      <c r="C2" s="2" t="s">
        <v>189</v>
      </c>
      <c r="D2" s="2" t="s">
        <v>190</v>
      </c>
      <c r="E2" s="2" t="s">
        <v>191</v>
      </c>
      <c r="F2" s="2" t="s">
        <v>192</v>
      </c>
      <c r="G2" s="2" t="s">
        <v>193</v>
      </c>
    </row>
    <row r="3" spans="1:9" ht="15.75" customHeight="1" x14ac:dyDescent="0.2">
      <c r="A3" s="16"/>
      <c r="B3" s="6" t="s">
        <v>194</v>
      </c>
      <c r="C3" s="6" t="s">
        <v>195</v>
      </c>
      <c r="D3" s="7" t="s">
        <v>196</v>
      </c>
      <c r="E3" s="2" t="s">
        <v>197</v>
      </c>
      <c r="F3" s="2" t="s">
        <v>198</v>
      </c>
      <c r="G3" s="8" t="s">
        <v>199</v>
      </c>
      <c r="H3" s="6"/>
      <c r="I3" s="6"/>
    </row>
    <row r="4" spans="1:9" ht="15.75" customHeight="1" x14ac:dyDescent="0.2">
      <c r="A4" s="16"/>
      <c r="B4" s="6" t="s">
        <v>200</v>
      </c>
      <c r="C4" s="6" t="s">
        <v>201</v>
      </c>
      <c r="D4" s="6" t="s">
        <v>202</v>
      </c>
      <c r="E4" s="2" t="s">
        <v>203</v>
      </c>
      <c r="F4" s="9" t="s">
        <v>204</v>
      </c>
      <c r="G4" s="2" t="s">
        <v>205</v>
      </c>
      <c r="H4" s="6"/>
    </row>
    <row r="5" spans="1:9" ht="15.75" customHeight="1" x14ac:dyDescent="0.2">
      <c r="A5" s="16"/>
      <c r="B5" s="6" t="s">
        <v>200</v>
      </c>
      <c r="C5" s="6" t="s">
        <v>206</v>
      </c>
      <c r="D5" s="7" t="s">
        <v>207</v>
      </c>
      <c r="E5" s="2" t="s">
        <v>208</v>
      </c>
      <c r="F5" s="2" t="s">
        <v>205</v>
      </c>
      <c r="G5" s="2" t="s">
        <v>205</v>
      </c>
      <c r="H5" s="6"/>
    </row>
    <row r="6" spans="1:9" ht="15.75" customHeight="1" x14ac:dyDescent="0.2">
      <c r="A6" s="16"/>
      <c r="B6" s="6" t="s">
        <v>209</v>
      </c>
      <c r="C6" s="6" t="s">
        <v>210</v>
      </c>
      <c r="D6" s="9" t="s">
        <v>211</v>
      </c>
      <c r="E6" s="2" t="s">
        <v>212</v>
      </c>
      <c r="F6" s="2" t="s">
        <v>205</v>
      </c>
      <c r="G6" s="2" t="s">
        <v>205</v>
      </c>
      <c r="H6" s="6"/>
    </row>
    <row r="7" spans="1:9" ht="15.75" customHeight="1" x14ac:dyDescent="0.2">
      <c r="A7" s="16"/>
      <c r="B7" s="6" t="s">
        <v>213</v>
      </c>
      <c r="C7" s="7" t="s">
        <v>214</v>
      </c>
      <c r="D7" s="2" t="s">
        <v>215</v>
      </c>
      <c r="E7" s="2" t="s">
        <v>216</v>
      </c>
      <c r="F7" s="2" t="s">
        <v>205</v>
      </c>
      <c r="G7" s="2" t="s">
        <v>205</v>
      </c>
      <c r="H7" s="6"/>
    </row>
    <row r="8" spans="1:9" ht="15.75" customHeight="1" x14ac:dyDescent="0.2">
      <c r="A8" s="16"/>
      <c r="B8" s="6" t="s">
        <v>217</v>
      </c>
      <c r="C8" s="6" t="s">
        <v>218</v>
      </c>
      <c r="D8" s="2" t="s">
        <v>219</v>
      </c>
      <c r="E8" s="2" t="s">
        <v>220</v>
      </c>
      <c r="F8" s="2" t="s">
        <v>205</v>
      </c>
      <c r="G8" s="2" t="s">
        <v>205</v>
      </c>
      <c r="H8" s="6"/>
    </row>
    <row r="9" spans="1:9" ht="15.75" customHeight="1" x14ac:dyDescent="0.2">
      <c r="A9" s="16"/>
      <c r="B9" s="6" t="s">
        <v>221</v>
      </c>
      <c r="C9" s="2" t="s">
        <v>205</v>
      </c>
      <c r="D9" s="2" t="s">
        <v>222</v>
      </c>
      <c r="E9" s="2" t="s">
        <v>223</v>
      </c>
      <c r="F9" s="2" t="s">
        <v>205</v>
      </c>
      <c r="G9" s="2" t="s">
        <v>205</v>
      </c>
      <c r="H9" s="6"/>
    </row>
    <row r="10" spans="1:9" ht="15.75" customHeight="1" x14ac:dyDescent="0.2">
      <c r="A10" s="16"/>
      <c r="B10" s="6" t="s">
        <v>224</v>
      </c>
      <c r="C10" s="2" t="s">
        <v>205</v>
      </c>
      <c r="D10" s="2" t="s">
        <v>225</v>
      </c>
      <c r="E10" s="2" t="s">
        <v>223</v>
      </c>
      <c r="F10" s="2" t="s">
        <v>205</v>
      </c>
      <c r="G10" s="2" t="s">
        <v>205</v>
      </c>
      <c r="H10" s="6"/>
    </row>
    <row r="11" spans="1:9" ht="15.75" customHeight="1" x14ac:dyDescent="0.2">
      <c r="A11" s="17" t="s">
        <v>226</v>
      </c>
      <c r="B11" s="2" t="s">
        <v>227</v>
      </c>
      <c r="C11" s="2" t="s">
        <v>190</v>
      </c>
      <c r="D11" s="2" t="s">
        <v>189</v>
      </c>
      <c r="E11" s="2" t="s">
        <v>228</v>
      </c>
      <c r="F11" s="2" t="s">
        <v>229</v>
      </c>
    </row>
    <row r="12" spans="1:9" ht="15.75" customHeight="1" x14ac:dyDescent="0.2">
      <c r="A12" s="16"/>
      <c r="B12" s="2" t="s">
        <v>230</v>
      </c>
      <c r="C12" s="10" t="s">
        <v>205</v>
      </c>
      <c r="D12" s="10"/>
      <c r="E12" s="2" t="s">
        <v>231</v>
      </c>
      <c r="F12" s="2" t="s">
        <v>232</v>
      </c>
      <c r="G12" s="2" t="s">
        <v>205</v>
      </c>
    </row>
    <row r="13" spans="1:9" ht="15.75" customHeight="1" x14ac:dyDescent="0.2">
      <c r="A13" s="16"/>
      <c r="B13" s="2" t="s">
        <v>233</v>
      </c>
      <c r="C13" s="10" t="s">
        <v>205</v>
      </c>
      <c r="D13" s="10"/>
      <c r="E13" s="9" t="s">
        <v>234</v>
      </c>
      <c r="F13" s="2" t="s">
        <v>235</v>
      </c>
      <c r="G13" s="2" t="s">
        <v>205</v>
      </c>
    </row>
    <row r="14" spans="1:9" ht="15.75" customHeight="1" x14ac:dyDescent="0.2">
      <c r="A14" s="16"/>
      <c r="B14" s="2" t="s">
        <v>236</v>
      </c>
      <c r="C14" s="10" t="s">
        <v>205</v>
      </c>
      <c r="D14" s="10"/>
      <c r="E14" s="9" t="s">
        <v>237</v>
      </c>
      <c r="F14" s="2" t="s">
        <v>205</v>
      </c>
      <c r="G14" s="2" t="s">
        <v>205</v>
      </c>
    </row>
    <row r="15" spans="1:9" ht="15.75" customHeight="1" x14ac:dyDescent="0.2">
      <c r="A15" s="16"/>
      <c r="B15" s="2" t="s">
        <v>238</v>
      </c>
      <c r="C15" s="10" t="s">
        <v>205</v>
      </c>
      <c r="D15" s="10"/>
      <c r="G15" s="2" t="s">
        <v>205</v>
      </c>
    </row>
    <row r="16" spans="1:9" ht="15.75" customHeight="1" x14ac:dyDescent="0.2">
      <c r="A16" s="16"/>
      <c r="B16" s="2" t="s">
        <v>239</v>
      </c>
      <c r="C16" s="10" t="s">
        <v>205</v>
      </c>
      <c r="D16" s="10"/>
      <c r="G16" s="2" t="s">
        <v>205</v>
      </c>
    </row>
    <row r="17" spans="1:10" ht="15.75" customHeight="1" x14ac:dyDescent="0.2">
      <c r="A17" s="16"/>
      <c r="B17" s="2" t="s">
        <v>240</v>
      </c>
      <c r="C17" s="10" t="s">
        <v>205</v>
      </c>
      <c r="D17" s="10"/>
    </row>
    <row r="18" spans="1:10" ht="15.75" customHeight="1" x14ac:dyDescent="0.2">
      <c r="A18" s="16"/>
      <c r="B18" s="9" t="s">
        <v>241</v>
      </c>
      <c r="C18" s="10" t="s">
        <v>205</v>
      </c>
      <c r="D18" s="10"/>
    </row>
    <row r="19" spans="1:10" ht="15.75" customHeight="1" x14ac:dyDescent="0.2">
      <c r="A19" s="16"/>
      <c r="C19" s="10" t="s">
        <v>205</v>
      </c>
      <c r="D19" s="11"/>
    </row>
    <row r="20" spans="1:10" ht="15.75" customHeight="1" x14ac:dyDescent="0.2">
      <c r="A20" s="17" t="s">
        <v>242</v>
      </c>
      <c r="B20" s="2" t="s">
        <v>243</v>
      </c>
      <c r="C20" s="2" t="s">
        <v>244</v>
      </c>
      <c r="D20" s="2" t="s">
        <v>245</v>
      </c>
      <c r="E20" s="2" t="s">
        <v>246</v>
      </c>
      <c r="F20" s="2" t="s">
        <v>247</v>
      </c>
      <c r="J20" s="2" t="s">
        <v>205</v>
      </c>
    </row>
    <row r="21" spans="1:10" ht="15.75" customHeight="1" x14ac:dyDescent="0.2">
      <c r="A21" s="16"/>
      <c r="B21" s="2" t="s">
        <v>248</v>
      </c>
      <c r="C21" s="4" t="s">
        <v>249</v>
      </c>
      <c r="D21" s="2" t="s">
        <v>250</v>
      </c>
      <c r="E21" s="2" t="s">
        <v>251</v>
      </c>
      <c r="F21" s="2" t="s">
        <v>252</v>
      </c>
      <c r="G21" s="2" t="s">
        <v>205</v>
      </c>
      <c r="I21" s="2" t="s">
        <v>205</v>
      </c>
      <c r="J21" s="2" t="s">
        <v>205</v>
      </c>
    </row>
    <row r="22" spans="1:10" ht="15.75" customHeight="1" x14ac:dyDescent="0.2">
      <c r="A22" s="16"/>
      <c r="B22" s="2" t="s">
        <v>253</v>
      </c>
      <c r="C22" s="2" t="s">
        <v>205</v>
      </c>
      <c r="D22" s="2" t="s">
        <v>254</v>
      </c>
      <c r="E22" s="2" t="s">
        <v>255</v>
      </c>
      <c r="F22" s="2" t="s">
        <v>256</v>
      </c>
      <c r="G22" s="2" t="s">
        <v>205</v>
      </c>
      <c r="I22" s="2" t="s">
        <v>205</v>
      </c>
      <c r="J22" s="2" t="s">
        <v>205</v>
      </c>
    </row>
    <row r="23" spans="1:10" ht="15.75" customHeight="1" x14ac:dyDescent="0.2">
      <c r="A23" s="16"/>
      <c r="B23" s="2" t="s">
        <v>257</v>
      </c>
      <c r="C23" s="2" t="s">
        <v>205</v>
      </c>
      <c r="D23" s="2" t="s">
        <v>258</v>
      </c>
      <c r="E23" s="2" t="s">
        <v>205</v>
      </c>
      <c r="F23" s="2" t="s">
        <v>259</v>
      </c>
      <c r="G23" s="2" t="s">
        <v>205</v>
      </c>
      <c r="H23" s="2" t="s">
        <v>205</v>
      </c>
      <c r="I23" s="2" t="s">
        <v>205</v>
      </c>
      <c r="J23" s="2" t="s">
        <v>205</v>
      </c>
    </row>
    <row r="24" spans="1:10" ht="15.75" customHeight="1" x14ac:dyDescent="0.2">
      <c r="A24" s="16"/>
      <c r="B24" s="2" t="s">
        <v>260</v>
      </c>
      <c r="C24" s="2" t="s">
        <v>205</v>
      </c>
      <c r="D24" s="2" t="s">
        <v>261</v>
      </c>
      <c r="E24" s="2" t="s">
        <v>205</v>
      </c>
      <c r="F24" s="2" t="s">
        <v>262</v>
      </c>
      <c r="G24" s="2" t="s">
        <v>205</v>
      </c>
      <c r="H24" s="2" t="s">
        <v>205</v>
      </c>
      <c r="I24" s="2" t="s">
        <v>205</v>
      </c>
      <c r="J24" s="2" t="s">
        <v>205</v>
      </c>
    </row>
    <row r="25" spans="1:10" ht="15.75" customHeight="1" x14ac:dyDescent="0.2">
      <c r="A25" s="16"/>
      <c r="B25" s="2" t="s">
        <v>205</v>
      </c>
      <c r="C25" s="2" t="s">
        <v>205</v>
      </c>
      <c r="D25" s="2" t="s">
        <v>263</v>
      </c>
      <c r="E25" s="2" t="s">
        <v>205</v>
      </c>
      <c r="F25" s="2" t="s">
        <v>264</v>
      </c>
      <c r="G25" s="2" t="s">
        <v>205</v>
      </c>
      <c r="H25" s="2" t="s">
        <v>205</v>
      </c>
      <c r="I25" s="2" t="s">
        <v>205</v>
      </c>
      <c r="J25" s="2" t="s">
        <v>205</v>
      </c>
    </row>
    <row r="26" spans="1:10" ht="15.75" customHeight="1" x14ac:dyDescent="0.2">
      <c r="A26" s="16"/>
      <c r="B26" s="2" t="s">
        <v>205</v>
      </c>
      <c r="C26" s="2" t="s">
        <v>205</v>
      </c>
      <c r="D26" s="2" t="s">
        <v>265</v>
      </c>
      <c r="E26" s="2" t="s">
        <v>205</v>
      </c>
      <c r="F26" s="2" t="s">
        <v>266</v>
      </c>
      <c r="G26" s="2" t="s">
        <v>205</v>
      </c>
      <c r="H26" s="2" t="s">
        <v>205</v>
      </c>
      <c r="I26" s="2" t="s">
        <v>205</v>
      </c>
      <c r="J26" s="2" t="s">
        <v>205</v>
      </c>
    </row>
    <row r="27" spans="1:10" ht="15.75" customHeight="1" x14ac:dyDescent="0.2">
      <c r="A27" s="16"/>
      <c r="B27" s="2" t="s">
        <v>205</v>
      </c>
      <c r="C27" s="2" t="s">
        <v>205</v>
      </c>
      <c r="D27" s="2" t="s">
        <v>267</v>
      </c>
      <c r="E27" s="2" t="s">
        <v>205</v>
      </c>
      <c r="F27" s="2" t="s">
        <v>268</v>
      </c>
      <c r="G27" s="2" t="s">
        <v>205</v>
      </c>
      <c r="H27" s="2" t="s">
        <v>205</v>
      </c>
      <c r="I27" s="2" t="s">
        <v>205</v>
      </c>
      <c r="J27" s="2" t="s">
        <v>205</v>
      </c>
    </row>
    <row r="28" spans="1:10" ht="15.75" customHeight="1" x14ac:dyDescent="0.2">
      <c r="A28" s="16"/>
      <c r="B28" s="2" t="s">
        <v>205</v>
      </c>
      <c r="C28" s="2" t="s">
        <v>205</v>
      </c>
      <c r="D28" s="2" t="s">
        <v>205</v>
      </c>
      <c r="E28" s="2" t="s">
        <v>205</v>
      </c>
      <c r="F28" s="2" t="s">
        <v>269</v>
      </c>
      <c r="G28" s="2" t="s">
        <v>205</v>
      </c>
      <c r="H28" s="2" t="s">
        <v>205</v>
      </c>
      <c r="I28" s="2" t="s">
        <v>205</v>
      </c>
      <c r="J28" s="2" t="s">
        <v>205</v>
      </c>
    </row>
    <row r="29" spans="1:10" ht="15.75" customHeight="1" x14ac:dyDescent="0.2">
      <c r="A29" s="17" t="s">
        <v>270</v>
      </c>
      <c r="B29" s="2" t="s">
        <v>271</v>
      </c>
      <c r="C29" s="2" t="s">
        <v>272</v>
      </c>
      <c r="D29" s="2" t="s">
        <v>273</v>
      </c>
      <c r="E29" s="2" t="s">
        <v>190</v>
      </c>
      <c r="F29" s="2" t="s">
        <v>189</v>
      </c>
    </row>
    <row r="30" spans="1:10" ht="15.75" customHeight="1" x14ac:dyDescent="0.2">
      <c r="A30" s="16"/>
      <c r="B30" s="2" t="s">
        <v>274</v>
      </c>
      <c r="C30" s="2" t="s">
        <v>275</v>
      </c>
      <c r="D30" s="2" t="s">
        <v>276</v>
      </c>
      <c r="E30" s="10" t="s">
        <v>205</v>
      </c>
      <c r="F30" s="10"/>
      <c r="H30" s="2" t="s">
        <v>205</v>
      </c>
      <c r="I30" s="2" t="s">
        <v>205</v>
      </c>
    </row>
    <row r="31" spans="1:10" ht="15.75" customHeight="1" x14ac:dyDescent="0.2">
      <c r="A31" s="16"/>
      <c r="B31" s="2" t="s">
        <v>205</v>
      </c>
      <c r="C31" s="2" t="s">
        <v>277</v>
      </c>
      <c r="D31" s="2" t="s">
        <v>232</v>
      </c>
      <c r="E31" s="10" t="s">
        <v>205</v>
      </c>
      <c r="F31" s="10"/>
      <c r="H31" s="2" t="s">
        <v>205</v>
      </c>
      <c r="I31" s="2" t="s">
        <v>205</v>
      </c>
    </row>
    <row r="32" spans="1:10" ht="15.75" customHeight="1" x14ac:dyDescent="0.2">
      <c r="A32" s="16"/>
      <c r="B32" s="2" t="s">
        <v>205</v>
      </c>
      <c r="C32" s="2" t="s">
        <v>277</v>
      </c>
      <c r="D32" s="2" t="s">
        <v>235</v>
      </c>
      <c r="E32" s="10" t="s">
        <v>205</v>
      </c>
      <c r="F32" s="10"/>
      <c r="H32" s="2" t="s">
        <v>205</v>
      </c>
      <c r="I32" s="2" t="s">
        <v>205</v>
      </c>
    </row>
    <row r="33" spans="1:9" ht="15.75" customHeight="1" x14ac:dyDescent="0.2">
      <c r="A33" s="16"/>
      <c r="B33" s="2" t="s">
        <v>205</v>
      </c>
      <c r="C33" s="2" t="s">
        <v>205</v>
      </c>
      <c r="D33" s="2" t="s">
        <v>205</v>
      </c>
      <c r="E33" s="10" t="s">
        <v>205</v>
      </c>
      <c r="F33" s="10"/>
      <c r="H33" s="2" t="s">
        <v>205</v>
      </c>
      <c r="I33" s="2" t="s">
        <v>205</v>
      </c>
    </row>
    <row r="34" spans="1:9" ht="15.75" customHeight="1" x14ac:dyDescent="0.2">
      <c r="A34" s="16"/>
      <c r="B34" s="2" t="s">
        <v>205</v>
      </c>
      <c r="C34" s="2" t="s">
        <v>205</v>
      </c>
      <c r="D34" s="2" t="s">
        <v>205</v>
      </c>
      <c r="E34" s="10" t="s">
        <v>205</v>
      </c>
      <c r="F34" s="10"/>
      <c r="H34" s="2" t="s">
        <v>205</v>
      </c>
      <c r="I34" s="2" t="s">
        <v>205</v>
      </c>
    </row>
    <row r="35" spans="1:9" ht="15.75" customHeight="1" x14ac:dyDescent="0.2">
      <c r="A35" s="16"/>
      <c r="B35" s="2" t="s">
        <v>205</v>
      </c>
      <c r="C35" s="2" t="s">
        <v>205</v>
      </c>
      <c r="D35" s="2" t="s">
        <v>205</v>
      </c>
      <c r="E35" s="10" t="s">
        <v>205</v>
      </c>
      <c r="F35" s="10"/>
      <c r="H35" s="2" t="s">
        <v>205</v>
      </c>
      <c r="I35" s="2" t="s">
        <v>205</v>
      </c>
    </row>
    <row r="36" spans="1:9" ht="15.75" customHeight="1" x14ac:dyDescent="0.2">
      <c r="A36" s="16"/>
      <c r="B36" s="2" t="s">
        <v>205</v>
      </c>
      <c r="C36" s="2" t="s">
        <v>205</v>
      </c>
      <c r="D36" s="2" t="s">
        <v>205</v>
      </c>
      <c r="E36" s="10" t="s">
        <v>205</v>
      </c>
      <c r="F36" s="10"/>
      <c r="H36" s="2" t="s">
        <v>205</v>
      </c>
      <c r="I36" s="2" t="s">
        <v>205</v>
      </c>
    </row>
    <row r="37" spans="1:9" ht="15.75" customHeight="1" x14ac:dyDescent="0.2">
      <c r="A37" s="16"/>
      <c r="B37" s="2" t="s">
        <v>205</v>
      </c>
      <c r="C37" s="2" t="s">
        <v>205</v>
      </c>
      <c r="D37" s="2" t="s">
        <v>205</v>
      </c>
      <c r="E37" s="10" t="s">
        <v>205</v>
      </c>
      <c r="F37" s="11"/>
      <c r="H37" s="2" t="s">
        <v>205</v>
      </c>
      <c r="I37" s="2" t="s">
        <v>205</v>
      </c>
    </row>
    <row r="38" spans="1:9" ht="15.75" customHeight="1" x14ac:dyDescent="0.2">
      <c r="A38" s="17" t="s">
        <v>278</v>
      </c>
      <c r="B38" s="2" t="s">
        <v>279</v>
      </c>
      <c r="C38" s="2" t="s">
        <v>280</v>
      </c>
      <c r="D38" s="2" t="s">
        <v>281</v>
      </c>
      <c r="E38" s="2" t="s">
        <v>190</v>
      </c>
      <c r="F38" s="2" t="s">
        <v>189</v>
      </c>
      <c r="G38" s="2" t="s">
        <v>282</v>
      </c>
    </row>
    <row r="39" spans="1:9" ht="15.75" customHeight="1" x14ac:dyDescent="0.2">
      <c r="A39" s="16"/>
      <c r="B39" s="2" t="s">
        <v>283</v>
      </c>
      <c r="C39" s="2" t="s">
        <v>284</v>
      </c>
      <c r="D39" s="2" t="s">
        <v>285</v>
      </c>
      <c r="E39" s="10" t="s">
        <v>205</v>
      </c>
      <c r="F39" s="10"/>
      <c r="G39" s="2" t="s">
        <v>286</v>
      </c>
      <c r="H39" s="2" t="s">
        <v>205</v>
      </c>
      <c r="I39" s="2" t="s">
        <v>205</v>
      </c>
    </row>
    <row r="40" spans="1:9" ht="15.75" customHeight="1" x14ac:dyDescent="0.2">
      <c r="A40" s="16"/>
      <c r="B40" s="2" t="s">
        <v>205</v>
      </c>
      <c r="C40" s="2" t="s">
        <v>287</v>
      </c>
      <c r="D40" s="2" t="s">
        <v>288</v>
      </c>
      <c r="E40" s="10" t="s">
        <v>205</v>
      </c>
      <c r="F40" s="10"/>
      <c r="H40" s="2" t="s">
        <v>205</v>
      </c>
      <c r="I40" s="2" t="s">
        <v>205</v>
      </c>
    </row>
    <row r="41" spans="1:9" ht="15.75" customHeight="1" x14ac:dyDescent="0.2">
      <c r="A41" s="16"/>
      <c r="B41" s="2" t="s">
        <v>205</v>
      </c>
      <c r="C41" s="2" t="s">
        <v>289</v>
      </c>
      <c r="D41" s="2" t="s">
        <v>290</v>
      </c>
      <c r="E41" s="10" t="s">
        <v>205</v>
      </c>
      <c r="F41" s="10"/>
      <c r="H41" s="2" t="s">
        <v>205</v>
      </c>
      <c r="I41" s="2" t="s">
        <v>205</v>
      </c>
    </row>
    <row r="42" spans="1:9" ht="15.75" customHeight="1" x14ac:dyDescent="0.2">
      <c r="A42" s="16"/>
      <c r="B42" s="2" t="s">
        <v>205</v>
      </c>
      <c r="C42" s="2" t="s">
        <v>291</v>
      </c>
      <c r="D42" s="2" t="s">
        <v>292</v>
      </c>
      <c r="E42" s="10" t="s">
        <v>205</v>
      </c>
      <c r="F42" s="10"/>
      <c r="H42" s="2" t="s">
        <v>205</v>
      </c>
      <c r="I42" s="2" t="s">
        <v>205</v>
      </c>
    </row>
    <row r="43" spans="1:9" ht="15.75" customHeight="1" x14ac:dyDescent="0.2">
      <c r="A43" s="16"/>
      <c r="B43" s="2" t="s">
        <v>205</v>
      </c>
      <c r="C43" s="2" t="s">
        <v>293</v>
      </c>
      <c r="D43" s="2" t="s">
        <v>205</v>
      </c>
      <c r="E43" s="10" t="s">
        <v>205</v>
      </c>
      <c r="F43" s="10"/>
      <c r="H43" s="2" t="s">
        <v>205</v>
      </c>
      <c r="I43" s="2" t="s">
        <v>205</v>
      </c>
    </row>
    <row r="44" spans="1:9" ht="15.75" customHeight="1" x14ac:dyDescent="0.2">
      <c r="A44" s="16"/>
      <c r="B44" s="2" t="s">
        <v>205</v>
      </c>
      <c r="C44" s="2" t="s">
        <v>294</v>
      </c>
      <c r="D44" s="2" t="s">
        <v>205</v>
      </c>
      <c r="E44" s="10" t="s">
        <v>205</v>
      </c>
      <c r="F44" s="10"/>
      <c r="H44" s="2" t="s">
        <v>205</v>
      </c>
      <c r="I44" s="2" t="s">
        <v>205</v>
      </c>
    </row>
    <row r="45" spans="1:9" ht="15.75" customHeight="1" x14ac:dyDescent="0.2">
      <c r="A45" s="16"/>
      <c r="B45" s="2" t="s">
        <v>205</v>
      </c>
      <c r="C45" s="9" t="s">
        <v>295</v>
      </c>
      <c r="D45" s="2" t="s">
        <v>205</v>
      </c>
      <c r="E45" s="10" t="s">
        <v>205</v>
      </c>
      <c r="F45" s="10"/>
      <c r="H45" s="2" t="s">
        <v>205</v>
      </c>
      <c r="I45" s="2" t="s">
        <v>205</v>
      </c>
    </row>
    <row r="46" spans="1:9" ht="15.75" customHeight="1" x14ac:dyDescent="0.2">
      <c r="A46" s="16"/>
      <c r="B46" s="2" t="s">
        <v>205</v>
      </c>
      <c r="C46" s="2" t="s">
        <v>296</v>
      </c>
      <c r="D46" s="2" t="s">
        <v>205</v>
      </c>
      <c r="E46" s="10" t="s">
        <v>205</v>
      </c>
      <c r="F46" s="11"/>
      <c r="H46" s="2" t="s">
        <v>205</v>
      </c>
      <c r="I46" s="2" t="s">
        <v>205</v>
      </c>
    </row>
    <row r="47" spans="1:9" ht="15.75" customHeight="1" x14ac:dyDescent="0.2">
      <c r="A47" s="17" t="s">
        <v>297</v>
      </c>
      <c r="B47" s="2" t="s">
        <v>298</v>
      </c>
      <c r="C47" s="2" t="s">
        <v>299</v>
      </c>
      <c r="D47" s="2" t="s">
        <v>205</v>
      </c>
      <c r="G47" s="2" t="s">
        <v>205</v>
      </c>
    </row>
    <row r="48" spans="1:9" ht="15.75" customHeight="1" x14ac:dyDescent="0.2">
      <c r="A48" s="16"/>
      <c r="B48" s="2" t="s">
        <v>300</v>
      </c>
      <c r="C48" s="2" t="s">
        <v>301</v>
      </c>
      <c r="D48" s="2" t="s">
        <v>205</v>
      </c>
      <c r="E48" s="2" t="s">
        <v>205</v>
      </c>
      <c r="F48" s="2" t="s">
        <v>205</v>
      </c>
      <c r="G48" s="2" t="s">
        <v>205</v>
      </c>
      <c r="H48" s="2" t="s">
        <v>205</v>
      </c>
      <c r="I48" s="2" t="s">
        <v>205</v>
      </c>
    </row>
    <row r="49" spans="1:9" ht="15.75" customHeight="1" x14ac:dyDescent="0.2">
      <c r="A49" s="16"/>
      <c r="B49" s="2" t="s">
        <v>205</v>
      </c>
      <c r="C49" s="2" t="s">
        <v>302</v>
      </c>
      <c r="D49" s="2" t="s">
        <v>205</v>
      </c>
      <c r="E49" s="2" t="s">
        <v>205</v>
      </c>
      <c r="F49" s="2" t="s">
        <v>205</v>
      </c>
      <c r="G49" s="2" t="s">
        <v>205</v>
      </c>
      <c r="H49" s="2" t="s">
        <v>205</v>
      </c>
      <c r="I49" s="2" t="s">
        <v>205</v>
      </c>
    </row>
    <row r="50" spans="1:9" ht="15.75" customHeight="1" x14ac:dyDescent="0.2">
      <c r="A50" s="16"/>
      <c r="B50" s="2" t="s">
        <v>205</v>
      </c>
      <c r="C50" s="2" t="s">
        <v>205</v>
      </c>
      <c r="D50" s="2" t="s">
        <v>205</v>
      </c>
      <c r="E50" s="2" t="s">
        <v>205</v>
      </c>
      <c r="F50" s="2" t="s">
        <v>205</v>
      </c>
      <c r="G50" s="2" t="s">
        <v>205</v>
      </c>
      <c r="H50" s="2" t="s">
        <v>205</v>
      </c>
      <c r="I50" s="2" t="s">
        <v>205</v>
      </c>
    </row>
    <row r="51" spans="1:9" ht="15.75" customHeight="1" x14ac:dyDescent="0.2">
      <c r="A51" s="16"/>
      <c r="B51" s="2" t="s">
        <v>205</v>
      </c>
      <c r="C51" s="2" t="s">
        <v>205</v>
      </c>
      <c r="D51" s="2" t="s">
        <v>205</v>
      </c>
      <c r="E51" s="2" t="s">
        <v>205</v>
      </c>
      <c r="F51" s="2" t="s">
        <v>205</v>
      </c>
      <c r="G51" s="2" t="s">
        <v>205</v>
      </c>
      <c r="H51" s="2" t="s">
        <v>205</v>
      </c>
      <c r="I51" s="2" t="s">
        <v>205</v>
      </c>
    </row>
    <row r="52" spans="1:9" ht="15.75" customHeight="1" x14ac:dyDescent="0.2">
      <c r="A52" s="16"/>
      <c r="B52" s="2" t="s">
        <v>205</v>
      </c>
      <c r="C52" s="2" t="s">
        <v>205</v>
      </c>
      <c r="D52" s="2" t="s">
        <v>205</v>
      </c>
      <c r="E52" s="2" t="s">
        <v>205</v>
      </c>
      <c r="F52" s="2" t="s">
        <v>205</v>
      </c>
      <c r="G52" s="2" t="s">
        <v>205</v>
      </c>
      <c r="H52" s="2" t="s">
        <v>205</v>
      </c>
      <c r="I52" s="2" t="s">
        <v>205</v>
      </c>
    </row>
    <row r="53" spans="1:9" ht="15.75" customHeight="1" x14ac:dyDescent="0.2">
      <c r="A53" s="16"/>
      <c r="B53" s="2" t="s">
        <v>205</v>
      </c>
      <c r="C53" s="2" t="s">
        <v>205</v>
      </c>
      <c r="D53" s="2" t="s">
        <v>205</v>
      </c>
      <c r="E53" s="2" t="s">
        <v>205</v>
      </c>
      <c r="F53" s="2" t="s">
        <v>205</v>
      </c>
      <c r="G53" s="2" t="s">
        <v>205</v>
      </c>
      <c r="H53" s="2" t="s">
        <v>205</v>
      </c>
      <c r="I53" s="2" t="s">
        <v>205</v>
      </c>
    </row>
    <row r="54" spans="1:9" ht="15.75" customHeight="1" x14ac:dyDescent="0.2">
      <c r="A54" s="16"/>
      <c r="B54" s="2" t="s">
        <v>205</v>
      </c>
      <c r="C54" s="2" t="s">
        <v>205</v>
      </c>
      <c r="D54" s="2" t="s">
        <v>205</v>
      </c>
      <c r="E54" s="2" t="s">
        <v>205</v>
      </c>
      <c r="F54" s="2" t="s">
        <v>205</v>
      </c>
      <c r="G54" s="2" t="s">
        <v>205</v>
      </c>
      <c r="H54" s="2" t="s">
        <v>205</v>
      </c>
      <c r="I54" s="2" t="s">
        <v>205</v>
      </c>
    </row>
    <row r="55" spans="1:9" ht="15.75" customHeight="1" x14ac:dyDescent="0.2">
      <c r="A55" s="16"/>
      <c r="B55" s="2" t="s">
        <v>205</v>
      </c>
      <c r="C55" s="2" t="s">
        <v>205</v>
      </c>
      <c r="D55" s="2" t="s">
        <v>205</v>
      </c>
      <c r="E55" s="2" t="s">
        <v>205</v>
      </c>
      <c r="F55" s="2" t="s">
        <v>205</v>
      </c>
      <c r="G55" s="2" t="s">
        <v>205</v>
      </c>
      <c r="H55" s="2" t="s">
        <v>205</v>
      </c>
      <c r="I55" s="2" t="s">
        <v>205</v>
      </c>
    </row>
    <row r="56" spans="1:9" ht="15.75" customHeight="1" x14ac:dyDescent="0.2">
      <c r="B56" s="2" t="s">
        <v>303</v>
      </c>
    </row>
    <row r="57" spans="1:9" ht="15.75" customHeight="1" x14ac:dyDescent="0.2">
      <c r="B57" s="2" t="s">
        <v>304</v>
      </c>
    </row>
    <row r="58" spans="1:9" ht="15.75" customHeight="1" x14ac:dyDescent="0.2">
      <c r="B58" s="2" t="s">
        <v>305</v>
      </c>
    </row>
    <row r="59" spans="1:9" ht="15.75" customHeight="1" x14ac:dyDescent="0.2"/>
    <row r="60" spans="1:9" ht="15.75" customHeight="1" x14ac:dyDescent="0.2"/>
    <row r="61" spans="1:9" ht="15.75" customHeight="1" x14ac:dyDescent="0.2"/>
    <row r="62" spans="1:9" ht="15.75" customHeight="1" x14ac:dyDescent="0.2"/>
    <row r="63" spans="1:9" ht="15.75" customHeight="1" x14ac:dyDescent="0.2"/>
    <row r="64" spans="1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47:A55"/>
    <mergeCell ref="A38:A46"/>
    <mergeCell ref="A20:A28"/>
    <mergeCell ref="A29:A37"/>
    <mergeCell ref="A2:A10"/>
    <mergeCell ref="A11:A19"/>
  </mergeCells>
  <hyperlinks>
    <hyperlink ref="G3" r:id="rId1" xr:uid="{00000000-0004-0000-0100-000000000000}"/>
    <hyperlink ref="F4" r:id="rId2" xr:uid="{00000000-0004-0000-0100-000001000000}"/>
    <hyperlink ref="D5" r:id="rId3" xr:uid="{00000000-0004-0000-0100-000002000000}"/>
    <hyperlink ref="D6" r:id="rId4" xr:uid="{00000000-0004-0000-0100-000003000000}"/>
    <hyperlink ref="C7" r:id="rId5" xr:uid="{00000000-0004-0000-0100-000004000000}"/>
    <hyperlink ref="E13" r:id="rId6" xr:uid="{00000000-0004-0000-0100-000005000000}"/>
    <hyperlink ref="E14" r:id="rId7" xr:uid="{00000000-0004-0000-0100-000006000000}"/>
    <hyperlink ref="B18" r:id="rId8" xr:uid="{00000000-0004-0000-0100-000007000000}"/>
    <hyperlink ref="C21" r:id="rId9" xr:uid="{00000000-0004-0000-0100-000008000000}"/>
    <hyperlink ref="C45" r:id="rId10" xr:uid="{00000000-0004-0000-0100-00000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Sheet</vt:lpstr>
      <vt:lpstr>Identifying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Childs, Kevin</cp:lastModifiedBy>
  <dcterms:created xsi:type="dcterms:W3CDTF">2026-05-29T21:25:32Z</dcterms:created>
  <dcterms:modified xsi:type="dcterms:W3CDTF">2026-05-29T21:48:53Z</dcterms:modified>
</cp:coreProperties>
</file>